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PPH_Time_Audit" sheetId="1" state="visible" r:id="rId1"/>
    <sheet xmlns:r="http://schemas.openxmlformats.org/officeDocument/2006/relationships" name="02_PAID_Niche_Scorer" sheetId="2" state="visible" r:id="rId2"/>
    <sheet xmlns:r="http://schemas.openxmlformats.org/officeDocument/2006/relationships" name="03_SIGNAL_Outlier_Bank" sheetId="3" state="visible" r:id="rId3"/>
    <sheet xmlns:r="http://schemas.openxmlformats.org/officeDocument/2006/relationships" name="04_1to15_Waterfall" sheetId="4" state="visible" r:id="rId4"/>
    <sheet xmlns:r="http://schemas.openxmlformats.org/officeDocument/2006/relationships" name="05_Welcome_Funnel_ROI" sheetId="5" state="visible" r:id="rId5"/>
    <sheet xmlns:r="http://schemas.openxmlformats.org/officeDocument/2006/relationships" name="06_Value_Ladder_Model" sheetId="6" state="visible" r:id="rId6"/>
    <sheet xmlns:r="http://schemas.openxmlformats.org/officeDocument/2006/relationships" name="07_Sponsorship_Pricer" sheetId="7" state="visible" r:id="rId7"/>
    <sheet xmlns:r="http://schemas.openxmlformats.org/officeDocument/2006/relationships" name="08_Friday_CEO_52W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2DD4BF"/>
      <sz val="10"/>
    </font>
    <font>
      <name val="Calibri"/>
      <b val="1"/>
      <color rgb="00FFFFFF"/>
      <sz val="10.5"/>
    </font>
    <font>
      <name val="Calibri"/>
      <color rgb="000F172A"/>
      <sz val="10"/>
    </font>
    <font>
      <name val="Calibri"/>
      <b val="1"/>
      <color rgb="003730A3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2" fontId="4" fillId="5" borderId="1" pivotButton="0" quotePrefix="0" xfId="0"/>
    <xf numFmtId="164" fontId="4" fillId="5" borderId="1" pivotButton="0" quotePrefix="0" xfId="0"/>
    <xf numFmtId="164" fontId="5" fillId="5" borderId="1" pivotButton="0" quotePrefix="0" xfId="0"/>
    <xf numFmtId="0" fontId="5" fillId="5" borderId="1" pivotButton="0" quotePrefix="0" xfId="0"/>
    <xf numFmtId="0" fontId="4" fillId="6" borderId="1" pivotButton="0" quotePrefix="0" xfId="0"/>
    <xf numFmtId="2" fontId="4" fillId="6" borderId="1" pivotButton="0" quotePrefix="0" xfId="0"/>
    <xf numFmtId="164" fontId="4" fillId="6" borderId="1" pivotButton="0" quotePrefix="0" xfId="0"/>
    <xf numFmtId="164" fontId="5" fillId="6" borderId="1" pivotButton="0" quotePrefix="0" xfId="0"/>
    <xf numFmtId="0" fontId="5" fillId="6" borderId="1" pivotButton="0" quotePrefix="0" xfId="0"/>
    <xf numFmtId="0" fontId="6" fillId="7" borderId="1" pivotButton="0" quotePrefix="0" xfId="0"/>
    <xf numFmtId="0" fontId="0" fillId="7" borderId="1" pivotButton="0" quotePrefix="0" xfId="0"/>
    <xf numFmtId="2" fontId="5" fillId="7" borderId="1" pivotButton="0" quotePrefix="0" xfId="0"/>
    <xf numFmtId="165" fontId="5" fillId="7" borderId="1" pivotButton="0" quotePrefix="0" xfId="0"/>
    <xf numFmtId="164" fontId="5" fillId="7" borderId="1" pivotButton="0" quotePrefix="0" xfId="0"/>
    <xf numFmtId="0" fontId="5" fillId="7" borderId="1" pivotButton="0" quotePrefix="0" xfId="0"/>
    <xf numFmtId="166" fontId="4" fillId="5" borderId="1" pivotButton="0" quotePrefix="0" xfId="0"/>
    <xf numFmtId="166" fontId="4" fillId="6" borderId="1" pivotButton="0" quotePrefix="0" xfId="0"/>
    <xf numFmtId="9" fontId="4" fillId="5" borderId="1" pivotButton="0" quotePrefix="0" xfId="0"/>
    <xf numFmtId="9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RPPH ($/Hour) Across Weekly Creator Activities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'01_RPPH_Time_Audit'!J3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'01_RPPH_Time_Audit'!$A$4:$A$18</f>
            </numRef>
          </cat>
          <val>
            <numRef>
              <f>'01_RPPH_Time_Audit'!$J$4:$J$18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Activity Log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RPPH ($/Hr)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S.I.G.N.A.L. Outlier Multiplier (M_outlier) by Candidate Topic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'03_SIGNAL_Outlier_Bank'!F3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'03_SIGNAL_Outlier_Bank'!$A$4:$A$23</f>
            </numRef>
          </cat>
          <val>
            <numRef>
              <f>'03_SIGNAL_Outlier_Bank'!$F$4:$F$23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Idea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Outlier Multiplier (x Median)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Owned Email Subscribers &amp; Monthly Funnel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'05_Welcome_Funnel_ROI'!K3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'05_Welcome_Funnel_ROI'!$A$4:$A$18</f>
            </numRef>
          </cat>
          <val>
            <numRef>
              <f>'05_Welcome_Funnel_ROI'!$K$4:$K$18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Cohort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Subscribers /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52-Week Net Profit &amp; Operator RPPH Trajectory</a:t>
            </a:r>
          </a:p>
        </rich>
      </tx>
    </title>
    <plotArea>
      <lineChart>
        <grouping val="standard"/>
        <ser>
          <idx val="0"/>
          <order val="0"/>
          <tx>
            <strRef>
              <f>'08_Friday_CEO_52Wk'!L3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'08_Friday_CEO_52Wk'!$A$4:$A$55</f>
            </numRef>
          </cat>
          <val>
            <numRef>
              <f>'08_Friday_CEO_52Wk'!$L$4:$L$55</f>
            </numRef>
          </val>
        </ser>
        <ser>
          <idx val="1"/>
          <order val="1"/>
          <tx>
            <strRef>
              <f>'08_Friday_CEO_52Wk'!M3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'08_Friday_CEO_52Wk'!$A$4:$A$55</f>
            </numRef>
          </cat>
          <val>
            <numRef>
              <f>'08_Friday_CEO_52Wk'!$M$4:$M$55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 Week (W01-W52)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20" customWidth="1" min="4" max="4"/>
    <col width="13" customWidth="1" min="5" max="5"/>
    <col width="13" customWidth="1" min="6" max="6"/>
    <col width="18" customWidth="1" min="7" max="7"/>
    <col width="16" customWidth="1" min="8" max="8"/>
    <col width="18" customWidth="1" min="9" max="9"/>
    <col width="16" customWidth="1" min="10" max="10"/>
    <col width="22" customWidth="1" min="11" max="11"/>
  </cols>
  <sheetData>
    <row r="1" ht="26" customHeight="1">
      <c r="A1" s="1" t="inlineStr">
        <is>
          <t>TAB 01 · 7-DAY CREATOR TIME, ENERGY &amp; RPPH UNIT-ECONOMICS AUDIT (CHAPTER 01)</t>
        </is>
      </c>
    </row>
    <row r="2" ht="20" customHeight="1">
      <c r="A2" s="2" t="inlineStr">
        <is>
          <t>Formula: Net_Revenue = Gross - Cost  |  Task_RPPH = Net_Revenue / Hours_Spent  |  Target Studio RPPH &gt;= $200.00/Hr</t>
        </is>
      </c>
    </row>
    <row r="3" ht="24" customHeight="1">
      <c r="A3" s="3" t="inlineStr">
        <is>
          <t>Log_ID</t>
        </is>
      </c>
      <c r="B3" s="3" t="inlineStr">
        <is>
          <t>Day_of_Week</t>
        </is>
      </c>
      <c r="C3" s="4" t="inlineStr">
        <is>
          <t>Workflow_Activity</t>
        </is>
      </c>
      <c r="D3" s="4" t="inlineStr">
        <is>
          <t>Pipeline_Stage</t>
        </is>
      </c>
      <c r="E3" s="4" t="inlineStr">
        <is>
          <t>Hours_Spent</t>
        </is>
      </c>
      <c r="F3" s="4" t="inlineStr">
        <is>
          <t>Energy_Score</t>
        </is>
      </c>
      <c r="G3" s="4" t="inlineStr">
        <is>
          <t>Gross_Revenue_USD</t>
        </is>
      </c>
      <c r="H3" s="4" t="inlineStr">
        <is>
          <t>Direct_Cost_USD</t>
        </is>
      </c>
      <c r="I3" s="4" t="inlineStr">
        <is>
          <t>Net_Revenue_USD</t>
        </is>
      </c>
      <c r="J3" s="4" t="inlineStr">
        <is>
          <t>Task_RPPH_USD</t>
        </is>
      </c>
      <c r="K3" s="4" t="inlineStr">
        <is>
          <t>Delegation_Gate</t>
        </is>
      </c>
    </row>
    <row r="4">
      <c r="A4" s="5" t="inlineStr">
        <is>
          <t>AUD-01</t>
        </is>
      </c>
      <c r="B4" s="5" t="inlineStr">
        <is>
          <t>Monday</t>
        </is>
      </c>
      <c r="C4" s="5" t="inlineStr">
        <is>
          <t>25-Peer Outlier Cohort Radar Scan</t>
        </is>
      </c>
      <c r="D4" s="5" t="inlineStr">
        <is>
          <t>Stage 1: Validate</t>
        </is>
      </c>
      <c r="E4" s="6" t="n">
        <v>0.5</v>
      </c>
      <c r="F4" s="5" t="n">
        <v>2</v>
      </c>
      <c r="G4" s="7" t="n">
        <v>420</v>
      </c>
      <c r="H4" s="7" t="n">
        <v>12</v>
      </c>
      <c r="I4" s="8">
        <f>G4-H4</f>
        <v/>
      </c>
      <c r="J4" s="8">
        <f>IF(E4&gt;0,ROUND(I4/E4,2),0)</f>
        <v/>
      </c>
      <c r="K4" s="9">
        <f>IF(J4&gt;=200,"KEEP / CORE ENGINE",IF(J4&gt;=50,"AUTOMATE / BATCH","PRUNE / DELEGATE NOW"))</f>
        <v/>
      </c>
    </row>
    <row r="5">
      <c r="A5" s="10" t="inlineStr">
        <is>
          <t>AUD-02</t>
        </is>
      </c>
      <c r="B5" s="10" t="inlineStr">
        <is>
          <t>Monday</t>
        </is>
      </c>
      <c r="C5" s="10" t="inlineStr">
        <is>
          <t>Comment Gap Pain Mining (Prompt P12)</t>
        </is>
      </c>
      <c r="D5" s="10" t="inlineStr">
        <is>
          <t>Stage 1: Validate</t>
        </is>
      </c>
      <c r="E5" s="11" t="n">
        <v>0.5</v>
      </c>
      <c r="F5" s="10" t="n">
        <v>2</v>
      </c>
      <c r="G5" s="12" t="n">
        <v>380</v>
      </c>
      <c r="H5" s="12" t="n">
        <v>10</v>
      </c>
      <c r="I5" s="13">
        <f>G5-H5</f>
        <v/>
      </c>
      <c r="J5" s="13">
        <f>IF(E5&gt;0,ROUND(I5/E5,2),0)</f>
        <v/>
      </c>
      <c r="K5" s="14">
        <f>IF(J5&gt;=200,"KEEP / CORE ENGINE",IF(J5&gt;=50,"AUTOMATE / BATCH","PRUNE / DELEGATE NOW"))</f>
        <v/>
      </c>
    </row>
    <row r="6">
      <c r="A6" s="5" t="inlineStr">
        <is>
          <t>AUD-03</t>
        </is>
      </c>
      <c r="B6" s="5" t="inlineStr">
        <is>
          <t>Monday</t>
        </is>
      </c>
      <c r="C6" s="5" t="inlineStr">
        <is>
          <t>Package-First Title &amp; 3-Word Thumbnail Lock</t>
        </is>
      </c>
      <c r="D6" s="5" t="inlineStr">
        <is>
          <t>Stage 2: Script</t>
        </is>
      </c>
      <c r="E6" s="6" t="n">
        <v>0.5</v>
      </c>
      <c r="F6" s="5" t="n">
        <v>2</v>
      </c>
      <c r="G6" s="7" t="n">
        <v>510</v>
      </c>
      <c r="H6" s="7" t="n">
        <v>15</v>
      </c>
      <c r="I6" s="8">
        <f>G6-H6</f>
        <v/>
      </c>
      <c r="J6" s="8">
        <f>IF(E6&gt;0,ROUND(I6/E6,2),0)</f>
        <v/>
      </c>
      <c r="K6" s="9">
        <f>IF(J6&gt;=200,"KEEP / CORE ENGINE",IF(J6&gt;=50,"AUTOMATE / BATCH","PRUNE / DELEGATE NOW"))</f>
        <v/>
      </c>
    </row>
    <row r="7">
      <c r="A7" s="10" t="inlineStr">
        <is>
          <t>AUD-04</t>
        </is>
      </c>
      <c r="B7" s="10" t="inlineStr">
        <is>
          <t>Monday</t>
        </is>
      </c>
      <c r="C7" s="10" t="inlineStr">
        <is>
          <t>First 30s C.L.I.P. Hook Scripting</t>
        </is>
      </c>
      <c r="D7" s="10" t="inlineStr">
        <is>
          <t>Stage 2: Script</t>
        </is>
      </c>
      <c r="E7" s="11" t="n">
        <v>0.5</v>
      </c>
      <c r="F7" s="10" t="n">
        <v>2</v>
      </c>
      <c r="G7" s="12" t="n">
        <v>490</v>
      </c>
      <c r="H7" s="12" t="n">
        <v>10</v>
      </c>
      <c r="I7" s="13">
        <f>G7-H7</f>
        <v/>
      </c>
      <c r="J7" s="13">
        <f>IF(E7&gt;0,ROUND(I7/E7,2),0)</f>
        <v/>
      </c>
      <c r="K7" s="14">
        <f>IF(J7&gt;=200,"KEEP / CORE ENGINE",IF(J7&gt;=50,"AUTOMATE / BATCH","PRUNE / DELEGATE NOW"))</f>
        <v/>
      </c>
    </row>
    <row r="8">
      <c r="A8" s="5" t="inlineStr">
        <is>
          <t>AUD-05</t>
        </is>
      </c>
      <c r="B8" s="5" t="inlineStr">
        <is>
          <t>Monday</t>
        </is>
      </c>
      <c r="C8" s="5" t="inlineStr">
        <is>
          <t>Manual Unbatched Social Feed Scrolling</t>
        </is>
      </c>
      <c r="D8" s="5" t="inlineStr">
        <is>
          <t>Time Leak</t>
        </is>
      </c>
      <c r="E8" s="6" t="n">
        <v>1.5</v>
      </c>
      <c r="F8" s="5" t="n">
        <v>-2</v>
      </c>
      <c r="G8" s="7" t="n">
        <v>0</v>
      </c>
      <c r="H8" s="7" t="n">
        <v>0</v>
      </c>
      <c r="I8" s="8">
        <f>G8-H8</f>
        <v/>
      </c>
      <c r="J8" s="8">
        <f>IF(E8&gt;0,ROUND(I8/E8,2),0)</f>
        <v/>
      </c>
      <c r="K8" s="9">
        <f>IF(J8&gt;=200,"KEEP / CORE ENGINE",IF(J8&gt;=50,"AUTOMATE / BATCH","PRUNE / DELEGATE NOW"))</f>
        <v/>
      </c>
    </row>
    <row r="9">
      <c r="A9" s="10" t="inlineStr">
        <is>
          <t>AUD-06</t>
        </is>
      </c>
      <c r="B9" s="10" t="inlineStr">
        <is>
          <t>Tuesday</t>
        </is>
      </c>
      <c r="C9" s="10" t="inlineStr">
        <is>
          <t>H.E.A.R.T. Master Pillar Script (2,000 Wds)</t>
        </is>
      </c>
      <c r="D9" s="10" t="inlineStr">
        <is>
          <t>Stage 2: Script</t>
        </is>
      </c>
      <c r="E9" s="11" t="n">
        <v>0.75</v>
      </c>
      <c r="F9" s="10" t="n">
        <v>2</v>
      </c>
      <c r="G9" s="12" t="n">
        <v>950</v>
      </c>
      <c r="H9" s="12" t="n">
        <v>25</v>
      </c>
      <c r="I9" s="13">
        <f>G9-H9</f>
        <v/>
      </c>
      <c r="J9" s="13">
        <f>IF(E9&gt;0,ROUND(I9/E9,2),0)</f>
        <v/>
      </c>
      <c r="K9" s="14">
        <f>IF(J9&gt;=200,"KEEP / CORE ENGINE",IF(J9&gt;=50,"AUTOMATE / BATCH","PRUNE / DELEGATE NOW"))</f>
        <v/>
      </c>
    </row>
    <row r="10">
      <c r="A10" s="5" t="inlineStr">
        <is>
          <t>AUD-07</t>
        </is>
      </c>
      <c r="B10" s="5" t="inlineStr">
        <is>
          <t>Tuesday</t>
        </is>
      </c>
      <c r="C10" s="5" t="inlineStr">
        <is>
          <t>Extract 5 Vertical Short Scripts (P26)</t>
        </is>
      </c>
      <c r="D10" s="5" t="inlineStr">
        <is>
          <t>Stage 3: Atomize</t>
        </is>
      </c>
      <c r="E10" s="6" t="n">
        <v>0.25</v>
      </c>
      <c r="F10" s="5" t="n">
        <v>1</v>
      </c>
      <c r="G10" s="7" t="n">
        <v>310</v>
      </c>
      <c r="H10" s="7" t="n">
        <v>8</v>
      </c>
      <c r="I10" s="8">
        <f>G10-H10</f>
        <v/>
      </c>
      <c r="J10" s="8">
        <f>IF(E10&gt;0,ROUND(I10/E10,2),0)</f>
        <v/>
      </c>
      <c r="K10" s="9">
        <f>IF(J10&gt;=200,"KEEP / CORE ENGINE",IF(J10&gt;=50,"AUTOMATE / BATCH","PRUNE / DELEGATE NOW"))</f>
        <v/>
      </c>
    </row>
    <row r="11">
      <c r="A11" s="10" t="inlineStr">
        <is>
          <t>AUD-08</t>
        </is>
      </c>
      <c r="B11" s="10" t="inlineStr">
        <is>
          <t>Tuesday</t>
        </is>
      </c>
      <c r="C11" s="10" t="inlineStr">
        <is>
          <t>Extract LinkedIn &amp; X Authority Suite (P27)</t>
        </is>
      </c>
      <c r="D11" s="10" t="inlineStr">
        <is>
          <t>Stage 3: Atomize</t>
        </is>
      </c>
      <c r="E11" s="11" t="n">
        <v>0.25</v>
      </c>
      <c r="F11" s="10" t="n">
        <v>1</v>
      </c>
      <c r="G11" s="12" t="n">
        <v>290</v>
      </c>
      <c r="H11" s="12" t="n">
        <v>8</v>
      </c>
      <c r="I11" s="13">
        <f>G11-H11</f>
        <v/>
      </c>
      <c r="J11" s="13">
        <f>IF(E11&gt;0,ROUND(I11/E11,2),0)</f>
        <v/>
      </c>
      <c r="K11" s="14">
        <f>IF(J11&gt;=200,"KEEP / CORE ENGINE",IF(J11&gt;=50,"AUTOMATE / BATCH","PRUNE / DELEGATE NOW"))</f>
        <v/>
      </c>
    </row>
    <row r="12">
      <c r="A12" s="5" t="inlineStr">
        <is>
          <t>AUD-09</t>
        </is>
      </c>
      <c r="B12" s="5" t="inlineStr">
        <is>
          <t>Tuesday</t>
        </is>
      </c>
      <c r="C12" s="5" t="inlineStr">
        <is>
          <t>Generate 3 Slide Carousel Outlines (P28)</t>
        </is>
      </c>
      <c r="D12" s="5" t="inlineStr">
        <is>
          <t>Stage 3: Atomize</t>
        </is>
      </c>
      <c r="E12" s="6" t="n">
        <v>0.25</v>
      </c>
      <c r="F12" s="5" t="n">
        <v>1</v>
      </c>
      <c r="G12" s="7" t="n">
        <v>260</v>
      </c>
      <c r="H12" s="7" t="n">
        <v>8</v>
      </c>
      <c r="I12" s="8">
        <f>G12-H12</f>
        <v/>
      </c>
      <c r="J12" s="8">
        <f>IF(E12&gt;0,ROUND(I12/E12,2),0)</f>
        <v/>
      </c>
      <c r="K12" s="9">
        <f>IF(J12&gt;=200,"KEEP / CORE ENGINE",IF(J12&gt;=50,"AUTOMATE / BATCH","PRUNE / DELEGATE NOW"))</f>
        <v/>
      </c>
    </row>
    <row r="13">
      <c r="A13" s="10" t="inlineStr">
        <is>
          <t>AUD-10</t>
        </is>
      </c>
      <c r="B13" s="10" t="inlineStr">
        <is>
          <t>Tuesday</t>
        </is>
      </c>
      <c r="C13" s="10" t="inlineStr">
        <is>
          <t>Draft Tue &amp; Fri Newsletter Issues (P29)</t>
        </is>
      </c>
      <c r="D13" s="10" t="inlineStr">
        <is>
          <t>Stage 4: Capture</t>
        </is>
      </c>
      <c r="E13" s="11" t="n">
        <v>0.5</v>
      </c>
      <c r="F13" s="10" t="n">
        <v>2</v>
      </c>
      <c r="G13" s="12" t="n">
        <v>840</v>
      </c>
      <c r="H13" s="12" t="n">
        <v>20</v>
      </c>
      <c r="I13" s="13">
        <f>G13-H13</f>
        <v/>
      </c>
      <c r="J13" s="13">
        <f>IF(E13&gt;0,ROUND(I13/E13,2),0)</f>
        <v/>
      </c>
      <c r="K13" s="14">
        <f>IF(J13&gt;=200,"KEEP / CORE ENGINE",IF(J13&gt;=50,"AUTOMATE / BATCH","PRUNE / DELEGATE NOW"))</f>
        <v/>
      </c>
    </row>
    <row r="14">
      <c r="A14" s="5" t="inlineStr">
        <is>
          <t>AUD-11</t>
        </is>
      </c>
      <c r="B14" s="5" t="inlineStr">
        <is>
          <t>Wednesday</t>
        </is>
      </c>
      <c r="C14" s="5" t="inlineStr">
        <is>
          <t>One-Take Teleprompter A-Roll Video Shoot</t>
        </is>
      </c>
      <c r="D14" s="5" t="inlineStr">
        <is>
          <t>Stage 3: Atomize</t>
        </is>
      </c>
      <c r="E14" s="6" t="n">
        <v>0.75</v>
      </c>
      <c r="F14" s="5" t="n">
        <v>2</v>
      </c>
      <c r="G14" s="7" t="n">
        <v>880</v>
      </c>
      <c r="H14" s="7" t="n">
        <v>30</v>
      </c>
      <c r="I14" s="8">
        <f>G14-H14</f>
        <v/>
      </c>
      <c r="J14" s="8">
        <f>IF(E14&gt;0,ROUND(I14/E14,2),0)</f>
        <v/>
      </c>
      <c r="K14" s="9">
        <f>IF(J14&gt;=200,"KEEP / CORE ENGINE",IF(J14&gt;=50,"AUTOMATE / BATCH","PRUNE / DELEGATE NOW"))</f>
        <v/>
      </c>
    </row>
    <row r="15">
      <c r="A15" s="10" t="inlineStr">
        <is>
          <t>AUD-12</t>
        </is>
      </c>
      <c r="B15" s="10" t="inlineStr">
        <is>
          <t>Wednesday</t>
        </is>
      </c>
      <c r="C15" s="10" t="inlineStr">
        <is>
          <t>Record 60s Native B2B Sponsor Integration</t>
        </is>
      </c>
      <c r="D15" s="10" t="inlineStr">
        <is>
          <t>Stage 5: Monetize</t>
        </is>
      </c>
      <c r="E15" s="11" t="n">
        <v>0.25</v>
      </c>
      <c r="F15" s="10" t="n">
        <v>2</v>
      </c>
      <c r="G15" s="12" t="n">
        <v>1600</v>
      </c>
      <c r="H15" s="12" t="n">
        <v>0</v>
      </c>
      <c r="I15" s="13">
        <f>G15-H15</f>
        <v/>
      </c>
      <c r="J15" s="13">
        <f>IF(E15&gt;0,ROUND(I15/E15,2),0)</f>
        <v/>
      </c>
      <c r="K15" s="14">
        <f>IF(J15&gt;=200,"KEEP / CORE ENGINE",IF(J15&gt;=50,"AUTOMATE / BATCH","PRUNE / DELEGATE NOW"))</f>
        <v/>
      </c>
    </row>
    <row r="16">
      <c r="A16" s="5" t="inlineStr">
        <is>
          <t>AUD-13</t>
        </is>
      </c>
      <c r="B16" s="5" t="inlineStr">
        <is>
          <t>Wednesday</t>
        </is>
      </c>
      <c r="C16" s="5" t="inlineStr">
        <is>
          <t>Text-Based Rough Cut &amp; Silence Strip</t>
        </is>
      </c>
      <c r="D16" s="5" t="inlineStr">
        <is>
          <t>Stage 3: Atomize</t>
        </is>
      </c>
      <c r="E16" s="6" t="n">
        <v>0.5</v>
      </c>
      <c r="F16" s="5" t="n">
        <v>0</v>
      </c>
      <c r="G16" s="7" t="n">
        <v>180</v>
      </c>
      <c r="H16" s="7" t="n">
        <v>15</v>
      </c>
      <c r="I16" s="8">
        <f>G16-H16</f>
        <v/>
      </c>
      <c r="J16" s="8">
        <f>IF(E16&gt;0,ROUND(I16/E16,2),0)</f>
        <v/>
      </c>
      <c r="K16" s="9">
        <f>IF(J16&gt;=200,"KEEP / CORE ENGINE",IF(J16&gt;=50,"AUTOMATE / BATCH","PRUNE / DELEGATE NOW"))</f>
        <v/>
      </c>
    </row>
    <row r="17">
      <c r="A17" s="10" t="inlineStr">
        <is>
          <t>AUD-14</t>
        </is>
      </c>
      <c r="B17" s="10" t="inlineStr">
        <is>
          <t>Wednesday</t>
        </is>
      </c>
      <c r="C17" s="10" t="inlineStr">
        <is>
          <t>Manual Keyframe Subtitle Tweaking</t>
        </is>
      </c>
      <c r="D17" s="10" t="inlineStr">
        <is>
          <t>Time Leak</t>
        </is>
      </c>
      <c r="E17" s="11" t="n">
        <v>1.25</v>
      </c>
      <c r="F17" s="10" t="n">
        <v>-2</v>
      </c>
      <c r="G17" s="12" t="n">
        <v>15</v>
      </c>
      <c r="H17" s="12" t="n">
        <v>0</v>
      </c>
      <c r="I17" s="13">
        <f>G17-H17</f>
        <v/>
      </c>
      <c r="J17" s="13">
        <f>IF(E17&gt;0,ROUND(I17/E17,2),0)</f>
        <v/>
      </c>
      <c r="K17" s="14">
        <f>IF(J17&gt;=200,"KEEP / CORE ENGINE",IF(J17&gt;=50,"AUTOMATE / BATCH","PRUNE / DELEGATE NOW"))</f>
        <v/>
      </c>
    </row>
    <row r="18">
      <c r="A18" s="5" t="inlineStr">
        <is>
          <t>AUD-15</t>
        </is>
      </c>
      <c r="B18" s="5" t="inlineStr">
        <is>
          <t>Thursday</t>
        </is>
      </c>
      <c r="C18" s="5" t="inlineStr">
        <is>
          <t>12-Point Pre-Flight QA Gate (Prompt P34)</t>
        </is>
      </c>
      <c r="D18" s="5" t="inlineStr">
        <is>
          <t>Stage 3: Atomize</t>
        </is>
      </c>
      <c r="E18" s="6" t="n">
        <v>0.25</v>
      </c>
      <c r="F18" s="5" t="n">
        <v>1</v>
      </c>
      <c r="G18" s="7" t="n">
        <v>240</v>
      </c>
      <c r="H18" s="7" t="n">
        <v>5</v>
      </c>
      <c r="I18" s="8">
        <f>G18-H18</f>
        <v/>
      </c>
      <c r="J18" s="8">
        <f>IF(E18&gt;0,ROUND(I18/E18,2),0)</f>
        <v/>
      </c>
      <c r="K18" s="9">
        <f>IF(J18&gt;=200,"KEEP / CORE ENGINE",IF(J18&gt;=50,"AUTOMATE / BATCH","PRUNE / DELEGATE NOW"))</f>
        <v/>
      </c>
    </row>
    <row r="19">
      <c r="A19" s="10" t="inlineStr">
        <is>
          <t>AUD-16</t>
        </is>
      </c>
      <c r="B19" s="10" t="inlineStr">
        <is>
          <t>Thursday</t>
        </is>
      </c>
      <c r="C19" s="10" t="inlineStr">
        <is>
          <t>Omnichannel Queue &amp; UTM Verification</t>
        </is>
      </c>
      <c r="D19" s="10" t="inlineStr">
        <is>
          <t>Stage 3: Atomize</t>
        </is>
      </c>
      <c r="E19" s="11" t="n">
        <v>0.25</v>
      </c>
      <c r="F19" s="10" t="n">
        <v>1</v>
      </c>
      <c r="G19" s="12" t="n">
        <v>220</v>
      </c>
      <c r="H19" s="12" t="n">
        <v>10</v>
      </c>
      <c r="I19" s="13">
        <f>G19-H19</f>
        <v/>
      </c>
      <c r="J19" s="13">
        <f>IF(E19&gt;0,ROUND(I19/E19,2),0)</f>
        <v/>
      </c>
      <c r="K19" s="14">
        <f>IF(J19&gt;=200,"KEEP / CORE ENGINE",IF(J19&gt;=50,"AUTOMATE / BATCH","PRUNE / DELEGATE NOW"))</f>
        <v/>
      </c>
    </row>
    <row r="20">
      <c r="A20" s="5" t="inlineStr">
        <is>
          <t>AUD-17</t>
        </is>
      </c>
      <c r="B20" s="5" t="inlineStr">
        <is>
          <t>Thursday</t>
        </is>
      </c>
      <c r="C20" s="5" t="inlineStr">
        <is>
          <t>5-Day Automated Welcome Funnel Check</t>
        </is>
      </c>
      <c r="D20" s="5" t="inlineStr">
        <is>
          <t>Stage 4: Capture</t>
        </is>
      </c>
      <c r="E20" s="6" t="n">
        <v>0.25</v>
      </c>
      <c r="F20" s="5" t="n">
        <v>2</v>
      </c>
      <c r="G20" s="7" t="n">
        <v>620</v>
      </c>
      <c r="H20" s="7" t="n">
        <v>18</v>
      </c>
      <c r="I20" s="8">
        <f>G20-H20</f>
        <v/>
      </c>
      <c r="J20" s="8">
        <f>IF(E20&gt;0,ROUND(I20/E20,2),0)</f>
        <v/>
      </c>
      <c r="K20" s="9">
        <f>IF(J20&gt;=200,"KEEP / CORE ENGINE",IF(J20&gt;=50,"AUTOMATE / BATCH","PRUNE / DELEGATE NOW"))</f>
        <v/>
      </c>
    </row>
    <row r="21">
      <c r="A21" s="10" t="inlineStr">
        <is>
          <t>AUD-18</t>
        </is>
      </c>
      <c r="B21" s="10" t="inlineStr">
        <is>
          <t>Thursday</t>
        </is>
      </c>
      <c r="C21" s="10" t="inlineStr">
        <is>
          <t>Ad-Hoc Graphic Formatting in Legacy Tool</t>
        </is>
      </c>
      <c r="D21" s="10" t="inlineStr">
        <is>
          <t>Time Leak</t>
        </is>
      </c>
      <c r="E21" s="11" t="n">
        <v>1</v>
      </c>
      <c r="F21" s="10" t="n">
        <v>-1</v>
      </c>
      <c r="G21" s="12" t="n">
        <v>10</v>
      </c>
      <c r="H21" s="12" t="n">
        <v>5</v>
      </c>
      <c r="I21" s="13">
        <f>G21-H21</f>
        <v/>
      </c>
      <c r="J21" s="13">
        <f>IF(E21&gt;0,ROUND(I21/E21,2),0)</f>
        <v/>
      </c>
      <c r="K21" s="14">
        <f>IF(J21&gt;=200,"KEEP / CORE ENGINE",IF(J21&gt;=50,"AUTOMATE / BATCH","PRUNE / DELEGATE NOW"))</f>
        <v/>
      </c>
    </row>
    <row r="22">
      <c r="A22" s="5" t="inlineStr">
        <is>
          <t>AUD-19</t>
        </is>
      </c>
      <c r="B22" s="5" t="inlineStr">
        <is>
          <t>Friday</t>
        </is>
      </c>
      <c r="C22" s="5" t="inlineStr">
        <is>
          <t>20-Min Friday Creator CEO KPI Telemetry</t>
        </is>
      </c>
      <c r="D22" s="5" t="inlineStr">
        <is>
          <t>Stage 5: Monetize</t>
        </is>
      </c>
      <c r="E22" s="6" t="n">
        <v>0.25</v>
      </c>
      <c r="F22" s="5" t="n">
        <v>2</v>
      </c>
      <c r="G22" s="7" t="n">
        <v>540</v>
      </c>
      <c r="H22" s="7" t="n">
        <v>0</v>
      </c>
      <c r="I22" s="8">
        <f>G22-H22</f>
        <v/>
      </c>
      <c r="J22" s="8">
        <f>IF(E22&gt;0,ROUND(I22/E22,2),0)</f>
        <v/>
      </c>
      <c r="K22" s="9">
        <f>IF(J22&gt;=200,"KEEP / CORE ENGINE",IF(J22&gt;=50,"AUTOMATE / BATCH","PRUNE / DELEGATE NOW"))</f>
        <v/>
      </c>
    </row>
    <row r="23">
      <c r="A23" s="10" t="inlineStr">
        <is>
          <t>AUD-20</t>
        </is>
      </c>
      <c r="B23" s="10" t="inlineStr">
        <is>
          <t>Friday</t>
        </is>
      </c>
      <c r="C23" s="10" t="inlineStr">
        <is>
          <t>Send 5 Outbound B2B Sponsor Pitches (P47)</t>
        </is>
      </c>
      <c r="D23" s="10" t="inlineStr">
        <is>
          <t>Stage 5: Monetize</t>
        </is>
      </c>
      <c r="E23" s="11" t="n">
        <v>0.25</v>
      </c>
      <c r="F23" s="10" t="n">
        <v>2</v>
      </c>
      <c r="G23" s="12" t="n">
        <v>1250</v>
      </c>
      <c r="H23" s="12" t="n">
        <v>0</v>
      </c>
      <c r="I23" s="13">
        <f>G23-H23</f>
        <v/>
      </c>
      <c r="J23" s="13">
        <f>IF(E23&gt;0,ROUND(I23/E23,2),0)</f>
        <v/>
      </c>
      <c r="K23" s="14">
        <f>IF(J23&gt;=200,"KEEP / CORE ENGINE",IF(J23&gt;=50,"AUTOMATE / BATCH","PRUNE / DELEGATE NOW"))</f>
        <v/>
      </c>
    </row>
    <row r="24">
      <c r="A24" s="5" t="inlineStr">
        <is>
          <t>AUD-21</t>
        </is>
      </c>
      <c r="B24" s="5" t="inlineStr">
        <is>
          <t>Friday</t>
        </is>
      </c>
      <c r="C24" s="5" t="inlineStr">
        <is>
          <t>Deliver Day-14 Sponsor Proof-of-ROI Report</t>
        </is>
      </c>
      <c r="D24" s="5" t="inlineStr">
        <is>
          <t>Stage 5: Monetize</t>
        </is>
      </c>
      <c r="E24" s="6" t="n">
        <v>0.25</v>
      </c>
      <c r="F24" s="5" t="n">
        <v>2</v>
      </c>
      <c r="G24" s="7" t="n">
        <v>950</v>
      </c>
      <c r="H24" s="7" t="n">
        <v>0</v>
      </c>
      <c r="I24" s="8">
        <f>G24-H24</f>
        <v/>
      </c>
      <c r="J24" s="8">
        <f>IF(E24&gt;0,ROUND(I24/E24,2),0)</f>
        <v/>
      </c>
      <c r="K24" s="9">
        <f>IF(J24&gt;=200,"KEEP / CORE ENGINE",IF(J24&gt;=50,"AUTOMATE / BATCH","PRUNE / DELEGATE NOW"))</f>
        <v/>
      </c>
    </row>
    <row r="25">
      <c r="A25" s="10" t="inlineStr">
        <is>
          <t>AUD-22</t>
        </is>
      </c>
      <c r="B25" s="10" t="inlineStr">
        <is>
          <t>Friday</t>
        </is>
      </c>
      <c r="C25" s="10" t="inlineStr">
        <is>
          <t>4-Tier Value Ladder Checkout Optimization</t>
        </is>
      </c>
      <c r="D25" s="10" t="inlineStr">
        <is>
          <t>Stage 5: Monetize</t>
        </is>
      </c>
      <c r="E25" s="11" t="n">
        <v>0.5</v>
      </c>
      <c r="F25" s="10" t="n">
        <v>2</v>
      </c>
      <c r="G25" s="12" t="n">
        <v>780</v>
      </c>
      <c r="H25" s="12" t="n">
        <v>22</v>
      </c>
      <c r="I25" s="13">
        <f>G25-H25</f>
        <v/>
      </c>
      <c r="J25" s="13">
        <f>IF(E25&gt;0,ROUND(I25/E25,2),0)</f>
        <v/>
      </c>
      <c r="K25" s="14">
        <f>IF(J25&gt;=200,"KEEP / CORE ENGINE",IF(J25&gt;=50,"AUTOMATE / BATCH","PRUNE / DELEGATE NOW"))</f>
        <v/>
      </c>
    </row>
    <row r="26">
      <c r="A26" s="5" t="inlineStr">
        <is>
          <t>AUD-23</t>
        </is>
      </c>
      <c r="B26" s="5" t="inlineStr">
        <is>
          <t>Saturday</t>
        </is>
      </c>
      <c r="C26" s="5" t="inlineStr">
        <is>
          <t>Tier 4 Monthly Living Vault Drop Curation</t>
        </is>
      </c>
      <c r="D26" s="5" t="inlineStr">
        <is>
          <t>Stage 5: Monetize</t>
        </is>
      </c>
      <c r="E26" s="6" t="n">
        <v>0.5</v>
      </c>
      <c r="F26" s="5" t="n">
        <v>2</v>
      </c>
      <c r="G26" s="7" t="n">
        <v>690</v>
      </c>
      <c r="H26" s="7" t="n">
        <v>15</v>
      </c>
      <c r="I26" s="8">
        <f>G26-H26</f>
        <v/>
      </c>
      <c r="J26" s="8">
        <f>IF(E26&gt;0,ROUND(I26/E26,2),0)</f>
        <v/>
      </c>
      <c r="K26" s="9">
        <f>IF(J26&gt;=200,"KEEP / CORE ENGINE",IF(J26&gt;=50,"AUTOMATE / BATCH","PRUNE / DELEGATE NOW"))</f>
        <v/>
      </c>
    </row>
    <row r="27">
      <c r="A27" s="10" t="inlineStr">
        <is>
          <t>AUD-24</t>
        </is>
      </c>
      <c r="B27" s="10" t="inlineStr">
        <is>
          <t>Saturday</t>
        </is>
      </c>
      <c r="C27" s="10" t="inlineStr">
        <is>
          <t>Customer Support FAQ Macro Automation</t>
        </is>
      </c>
      <c r="D27" s="10" t="inlineStr">
        <is>
          <t>Stage 5: Monetize</t>
        </is>
      </c>
      <c r="E27" s="11" t="n">
        <v>0.25</v>
      </c>
      <c r="F27" s="10" t="n">
        <v>0</v>
      </c>
      <c r="G27" s="12" t="n">
        <v>110</v>
      </c>
      <c r="H27" s="12" t="n">
        <v>5</v>
      </c>
      <c r="I27" s="13">
        <f>G27-H27</f>
        <v/>
      </c>
      <c r="J27" s="13">
        <f>IF(E27&gt;0,ROUND(I27/E27,2),0)</f>
        <v/>
      </c>
      <c r="K27" s="14">
        <f>IF(J27&gt;=200,"KEEP / CORE ENGINE",IF(J27&gt;=50,"AUTOMATE / BATCH","PRUNE / DELEGATE NOW"))</f>
        <v/>
      </c>
    </row>
    <row r="28">
      <c r="A28" s="5" t="inlineStr">
        <is>
          <t>AUD-25</t>
        </is>
      </c>
      <c r="B28" s="5" t="inlineStr">
        <is>
          <t>Saturday</t>
        </is>
      </c>
      <c r="C28" s="5" t="inlineStr">
        <is>
          <t>Unplanned Reply-Guy Comment Arguments</t>
        </is>
      </c>
      <c r="D28" s="5" t="inlineStr">
        <is>
          <t>Time Leak</t>
        </is>
      </c>
      <c r="E28" s="6" t="n">
        <v>1</v>
      </c>
      <c r="F28" s="5" t="n">
        <v>-2</v>
      </c>
      <c r="G28" s="7" t="n">
        <v>0</v>
      </c>
      <c r="H28" s="7" t="n">
        <v>0</v>
      </c>
      <c r="I28" s="8">
        <f>G28-H28</f>
        <v/>
      </c>
      <c r="J28" s="8">
        <f>IF(E28&gt;0,ROUND(I28/E28,2),0)</f>
        <v/>
      </c>
      <c r="K28" s="9">
        <f>IF(J28&gt;=200,"KEEP / CORE ENGINE",IF(J28&gt;=50,"AUTOMATE / BATCH","PRUNE / DELEGATE NOW"))</f>
        <v/>
      </c>
    </row>
    <row r="29">
      <c r="A29" s="10" t="inlineStr">
        <is>
          <t>AUD-26</t>
        </is>
      </c>
      <c r="B29" s="10" t="inlineStr">
        <is>
          <t>Sunday</t>
        </is>
      </c>
      <c r="C29" s="10" t="inlineStr">
        <is>
          <t>Weekly 90-Day Email List Hygiene Check</t>
        </is>
      </c>
      <c r="D29" s="10" t="inlineStr">
        <is>
          <t>Stage 4: Capture</t>
        </is>
      </c>
      <c r="E29" s="11" t="n">
        <v>0.25</v>
      </c>
      <c r="F29" s="10" t="n">
        <v>1</v>
      </c>
      <c r="G29" s="12" t="n">
        <v>210</v>
      </c>
      <c r="H29" s="12" t="n">
        <v>5</v>
      </c>
      <c r="I29" s="13">
        <f>G29-H29</f>
        <v/>
      </c>
      <c r="J29" s="13">
        <f>IF(E29&gt;0,ROUND(I29/E29,2),0)</f>
        <v/>
      </c>
      <c r="K29" s="14">
        <f>IF(J29&gt;=200,"KEEP / CORE ENGINE",IF(J29&gt;=50,"AUTOMATE / BATCH","PRUNE / DELEGATE NOW"))</f>
        <v/>
      </c>
    </row>
    <row r="30">
      <c r="A30" s="5" t="inlineStr">
        <is>
          <t>AUD-27</t>
        </is>
      </c>
      <c r="B30" s="5" t="inlineStr">
        <is>
          <t>Sunday</t>
        </is>
      </c>
      <c r="C30" s="5" t="inlineStr">
        <is>
          <t>Lead Magnet Opt-In Page A/B Split Check</t>
        </is>
      </c>
      <c r="D30" s="5" t="inlineStr">
        <is>
          <t>Stage 4: Capture</t>
        </is>
      </c>
      <c r="E30" s="6" t="n">
        <v>0.25</v>
      </c>
      <c r="F30" s="5" t="n">
        <v>2</v>
      </c>
      <c r="G30" s="7" t="n">
        <v>460</v>
      </c>
      <c r="H30" s="7" t="n">
        <v>10</v>
      </c>
      <c r="I30" s="8">
        <f>G30-H30</f>
        <v/>
      </c>
      <c r="J30" s="8">
        <f>IF(E30&gt;0,ROUND(I30/E30,2),0)</f>
        <v/>
      </c>
      <c r="K30" s="9">
        <f>IF(J30&gt;=200,"KEEP / CORE ENGINE",IF(J30&gt;=50,"AUTOMATE / BATCH","PRUNE / DELEGATE NOW"))</f>
        <v/>
      </c>
    </row>
    <row r="31">
      <c r="A31" s="10" t="inlineStr">
        <is>
          <t>AUD-28</t>
        </is>
      </c>
      <c r="B31" s="10" t="inlineStr">
        <is>
          <t>Sunday</t>
        </is>
      </c>
      <c r="C31" s="10" t="inlineStr">
        <is>
          <t>Next Week Studio Desk &amp; Teleprompter Reset</t>
        </is>
      </c>
      <c r="D31" s="10" t="inlineStr">
        <is>
          <t>Stage 3: Atomize</t>
        </is>
      </c>
      <c r="E31" s="11" t="n">
        <v>0.25</v>
      </c>
      <c r="F31" s="10" t="n">
        <v>1</v>
      </c>
      <c r="G31" s="12" t="n">
        <v>150</v>
      </c>
      <c r="H31" s="12" t="n">
        <v>0</v>
      </c>
      <c r="I31" s="13">
        <f>G31-H31</f>
        <v/>
      </c>
      <c r="J31" s="13">
        <f>IF(E31&gt;0,ROUND(I31/E31,2),0)</f>
        <v/>
      </c>
      <c r="K31" s="14">
        <f>IF(J31&gt;=200,"KEEP / CORE ENGINE",IF(J31&gt;=50,"AUTOMATE / BATCH","PRUNE / DELEGATE NOW"))</f>
        <v/>
      </c>
    </row>
    <row r="32">
      <c r="A32" s="15" t="inlineStr">
        <is>
          <t>TOTAL / AVG</t>
        </is>
      </c>
      <c r="B32" s="16" t="n"/>
      <c r="C32" s="15" t="inlineStr">
        <is>
          <t>Consolidated Weekly Creator OS Audit</t>
        </is>
      </c>
      <c r="D32" s="16" t="n"/>
      <c r="E32" s="17">
        <f>SUM(E4:E31)</f>
        <v/>
      </c>
      <c r="F32" s="18">
        <f>AVERAGE(F4:F31)</f>
        <v/>
      </c>
      <c r="G32" s="19">
        <f>SUM(G4:G31)</f>
        <v/>
      </c>
      <c r="H32" s="19">
        <f>SUM(H4:H31)</f>
        <v/>
      </c>
      <c r="I32" s="19">
        <f>SUM(I4:I31)</f>
        <v/>
      </c>
      <c r="J32" s="19">
        <f>ROUND(I32/E32,2)</f>
        <v/>
      </c>
      <c r="K32" s="20">
        <f>IF(J32&gt;=200,"GREEN GATE PASS","BELOW TARGET")</f>
        <v/>
      </c>
    </row>
  </sheetData>
  <mergeCells count="2">
    <mergeCell ref="A2:K2"/>
    <mergeCell ref="A1:K1"/>
  </mergeCells>
  <conditionalFormatting sqref="J4:J31">
    <cfRule type="colorScale" priority="1">
      <colorScale>
        <cfvo type="num" val="0"/>
        <cfvo type="num" val="200"/>
        <cfvo type="num" val="1500"/>
        <color rgb="00FCA5A5"/>
        <color rgb="00FDE68A"/>
        <color rgb="006EE7B7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2" customWidth="1" min="10" max="10"/>
  </cols>
  <sheetData>
    <row r="1" ht="26" customHeight="1">
      <c r="A1" s="1" t="inlineStr">
        <is>
          <t>TAB 02 · P.A.I.D. NICHE MONETIZATION POTENTIAL INDEX (NMPI) MATRIX (CHAPTER 02)</t>
        </is>
      </c>
    </row>
    <row r="2" ht="20" customHeight="1">
      <c r="A2" s="2" t="inlineStr">
        <is>
          <t>Formula: NMPI = (P*2.5) + (A*3.0) + (I*2.5) + (D*2.0)  |  Hard Green-Light Gate: NMPI &gt;= 75.0 / 100</t>
        </is>
      </c>
    </row>
    <row r="3" ht="24" customHeight="1">
      <c r="A3" s="3" t="inlineStr">
        <is>
          <t>Niche_ID</t>
        </is>
      </c>
      <c r="B3" s="3" t="inlineStr">
        <is>
          <t>Candidate_Niche_Positioning</t>
        </is>
      </c>
      <c r="C3" s="4" t="inlineStr">
        <is>
          <t>Target_Buyer_Avatar</t>
        </is>
      </c>
      <c r="D3" s="4" t="inlineStr">
        <is>
          <t>P_Pain_Urgency_10</t>
        </is>
      </c>
      <c r="E3" s="4" t="inlineStr">
        <is>
          <t>A_Affluence_10</t>
        </is>
      </c>
      <c r="F3" s="4" t="inlineStr">
        <is>
          <t>I_Intent_to_Buy_10</t>
        </is>
      </c>
      <c r="G3" s="4" t="inlineStr">
        <is>
          <t>D_Distribution_10</t>
        </is>
      </c>
      <c r="H3" s="4" t="inlineStr">
        <is>
          <t>Weighted_NMPI_100</t>
        </is>
      </c>
      <c r="I3" s="4" t="inlineStr">
        <is>
          <t>Estimated_Blended_RPM</t>
        </is>
      </c>
      <c r="J3" s="4" t="inlineStr">
        <is>
          <t>Go_No_Go_Decision</t>
        </is>
      </c>
    </row>
    <row r="4">
      <c r="A4" s="5" t="inlineStr">
        <is>
          <t>NIC-01</t>
        </is>
      </c>
      <c r="B4" s="5" t="inlineStr">
        <is>
          <t>AI Operations &amp; Automation for Solo Founders</t>
        </is>
      </c>
      <c r="C4" s="5" t="inlineStr">
        <is>
          <t>Bootstrapped SaaS &amp; Agency Owners</t>
        </is>
      </c>
      <c r="D4" s="5" t="n">
        <v>9.4</v>
      </c>
      <c r="E4" s="5" t="n">
        <v>9.199999999999999</v>
      </c>
      <c r="F4" s="5" t="n">
        <v>9</v>
      </c>
      <c r="G4" s="5" t="n">
        <v>8.800000000000001</v>
      </c>
      <c r="H4" s="9">
        <f>ROUND((D4*2.5)+(E4*3.0)+(F4*2.5)+(G4*2.0),2)</f>
        <v/>
      </c>
      <c r="I4" s="8">
        <f>ROUND(H4*2.85,2)</f>
        <v/>
      </c>
      <c r="J4" s="9">
        <f>IF(H4&gt;=75,"GREEN LIGHT (LAUNCH)","REJECT / PIVOT AVATAR")</f>
        <v/>
      </c>
    </row>
    <row r="5">
      <c r="A5" s="10" t="inlineStr">
        <is>
          <t>NIC-02</t>
        </is>
      </c>
      <c r="B5" s="10" t="inlineStr">
        <is>
          <t>B2B RevOps &amp; CRM Pipeline Architecture</t>
        </is>
      </c>
      <c r="C5" s="10" t="inlineStr">
        <is>
          <t>VP Sales &amp; RevOps Practitioners</t>
        </is>
      </c>
      <c r="D5" s="10" t="n">
        <v>9</v>
      </c>
      <c r="E5" s="10" t="n">
        <v>9.5</v>
      </c>
      <c r="F5" s="10" t="n">
        <v>8.800000000000001</v>
      </c>
      <c r="G5" s="10" t="n">
        <v>7.8</v>
      </c>
      <c r="H5" s="14">
        <f>ROUND((D5*2.5)+(E5*3.0)+(F5*2.5)+(G5*2.0),2)</f>
        <v/>
      </c>
      <c r="I5" s="13">
        <f>ROUND(H5*2.85,2)</f>
        <v/>
      </c>
      <c r="J5" s="14">
        <f>IF(H5&gt;=75,"GREEN LIGHT (LAUNCH)","REJECT / PIVOT AVATAR")</f>
        <v/>
      </c>
    </row>
    <row r="6">
      <c r="A6" s="5" t="inlineStr">
        <is>
          <t>NIC-03</t>
        </is>
      </c>
      <c r="B6" s="5" t="inlineStr">
        <is>
          <t>Solopreneur Digital Product &amp; Newsletter OS</t>
        </is>
      </c>
      <c r="C6" s="5" t="inlineStr">
        <is>
          <t>Technical Creators &amp; Consultants</t>
        </is>
      </c>
      <c r="D6" s="5" t="n">
        <v>9.199999999999999</v>
      </c>
      <c r="E6" s="5" t="n">
        <v>8.6</v>
      </c>
      <c r="F6" s="5" t="n">
        <v>9.199999999999999</v>
      </c>
      <c r="G6" s="5" t="n">
        <v>9</v>
      </c>
      <c r="H6" s="9">
        <f>ROUND((D6*2.5)+(E6*3.0)+(F6*2.5)+(G6*2.0),2)</f>
        <v/>
      </c>
      <c r="I6" s="8">
        <f>ROUND(H6*2.85,2)</f>
        <v/>
      </c>
      <c r="J6" s="9">
        <f>IF(H6&gt;=75,"GREEN LIGHT (LAUNCH)","REJECT / PIVOT AVATAR")</f>
        <v/>
      </c>
    </row>
    <row r="7">
      <c r="A7" s="10" t="inlineStr">
        <is>
          <t>NIC-04</t>
        </is>
      </c>
      <c r="B7" s="10" t="inlineStr">
        <is>
          <t>Cloud FinOps &amp; Kubernetes Cost Reduction</t>
        </is>
      </c>
      <c r="C7" s="10" t="inlineStr">
        <is>
          <t>DevOps Leads &amp; CTOs</t>
        </is>
      </c>
      <c r="D7" s="10" t="n">
        <v>8.800000000000001</v>
      </c>
      <c r="E7" s="10" t="n">
        <v>9.6</v>
      </c>
      <c r="F7" s="10" t="n">
        <v>8.6</v>
      </c>
      <c r="G7" s="10" t="n">
        <v>7.5</v>
      </c>
      <c r="H7" s="14">
        <f>ROUND((D7*2.5)+(E7*3.0)+(F7*2.5)+(G7*2.0),2)</f>
        <v/>
      </c>
      <c r="I7" s="13">
        <f>ROUND(H7*2.85,2)</f>
        <v/>
      </c>
      <c r="J7" s="14">
        <f>IF(H7&gt;=75,"GREEN LIGHT (LAUNCH)","REJECT / PIVOT AVATAR")</f>
        <v/>
      </c>
    </row>
    <row r="8">
      <c r="A8" s="5" t="inlineStr">
        <is>
          <t>NIC-05</t>
        </is>
      </c>
      <c r="B8" s="5" t="inlineStr">
        <is>
          <t>Executive Financial Modeling &amp; FP&amp;A Excel</t>
        </is>
      </c>
      <c r="C8" s="5" t="inlineStr">
        <is>
          <t>Fractional CFOs &amp; Finance Managers</t>
        </is>
      </c>
      <c r="D8" s="5" t="n">
        <v>8.6</v>
      </c>
      <c r="E8" s="5" t="n">
        <v>9</v>
      </c>
      <c r="F8" s="5" t="n">
        <v>8.800000000000001</v>
      </c>
      <c r="G8" s="5" t="n">
        <v>8.199999999999999</v>
      </c>
      <c r="H8" s="9">
        <f>ROUND((D8*2.5)+(E8*3.0)+(F8*2.5)+(G8*2.0),2)</f>
        <v/>
      </c>
      <c r="I8" s="8">
        <f>ROUND(H8*2.85,2)</f>
        <v/>
      </c>
      <c r="J8" s="9">
        <f>IF(H8&gt;=75,"GREEN LIGHT (LAUNCH)","REJECT / PIVOT AVATAR")</f>
        <v/>
      </c>
    </row>
    <row r="9">
      <c r="A9" s="10" t="inlineStr">
        <is>
          <t>NIC-06</t>
        </is>
      </c>
      <c r="B9" s="10" t="inlineStr">
        <is>
          <t>Cybersecurity Compliance (SOC2/ISO) for Startups</t>
        </is>
      </c>
      <c r="C9" s="10" t="inlineStr">
        <is>
          <t>Seed-to-Series-B Engineering Leads</t>
        </is>
      </c>
      <c r="D9" s="10" t="n">
        <v>9.5</v>
      </c>
      <c r="E9" s="10" t="n">
        <v>9.4</v>
      </c>
      <c r="F9" s="10" t="n">
        <v>9</v>
      </c>
      <c r="G9" s="10" t="n">
        <v>7.2</v>
      </c>
      <c r="H9" s="14">
        <f>ROUND((D9*2.5)+(E9*3.0)+(F9*2.5)+(G9*2.0),2)</f>
        <v/>
      </c>
      <c r="I9" s="13">
        <f>ROUND(H9*2.85,2)</f>
        <v/>
      </c>
      <c r="J9" s="14">
        <f>IF(H9&gt;=75,"GREEN LIGHT (LAUNCH)","REJECT / PIVOT AVATAR")</f>
        <v/>
      </c>
    </row>
    <row r="10">
      <c r="A10" s="5" t="inlineStr">
        <is>
          <t>NIC-07</t>
        </is>
      </c>
      <c r="B10" s="5" t="inlineStr">
        <is>
          <t>AI-Assisted Legal &amp; Contract Ops for Agencies</t>
        </is>
      </c>
      <c r="C10" s="5" t="inlineStr">
        <is>
          <t>Boutique Legal &amp; Agency Principals</t>
        </is>
      </c>
      <c r="D10" s="5" t="n">
        <v>8.4</v>
      </c>
      <c r="E10" s="5" t="n">
        <v>8.800000000000001</v>
      </c>
      <c r="F10" s="5" t="n">
        <v>8.199999999999999</v>
      </c>
      <c r="G10" s="5" t="n">
        <v>7.6</v>
      </c>
      <c r="H10" s="9">
        <f>ROUND((D10*2.5)+(E10*3.0)+(F10*2.5)+(G10*2.0),2)</f>
        <v/>
      </c>
      <c r="I10" s="8">
        <f>ROUND(H10*2.85,2)</f>
        <v/>
      </c>
      <c r="J10" s="9">
        <f>IF(H10&gt;=75,"GREEN LIGHT (LAUNCH)","REJECT / PIVOT AVATAR")</f>
        <v/>
      </c>
    </row>
    <row r="11">
      <c r="A11" s="10" t="inlineStr">
        <is>
          <t>NIC-08</t>
        </is>
      </c>
      <c r="B11" s="10" t="inlineStr">
        <is>
          <t>High-Retention Technical YouTube Production</t>
        </is>
      </c>
      <c r="C11" s="10" t="inlineStr">
        <is>
          <t>B2B Educators &amp; DevRel Teams</t>
        </is>
      </c>
      <c r="D11" s="10" t="n">
        <v>8.5</v>
      </c>
      <c r="E11" s="10" t="n">
        <v>8.199999999999999</v>
      </c>
      <c r="F11" s="10" t="n">
        <v>8.4</v>
      </c>
      <c r="G11" s="10" t="n">
        <v>8.800000000000001</v>
      </c>
      <c r="H11" s="14">
        <f>ROUND((D11*2.5)+(E11*3.0)+(F11*2.5)+(G11*2.0),2)</f>
        <v/>
      </c>
      <c r="I11" s="13">
        <f>ROUND(H11*2.85,2)</f>
        <v/>
      </c>
      <c r="J11" s="14">
        <f>IF(H11&gt;=75,"GREEN LIGHT (LAUNCH)","REJECT / PIVOT AVATAR")</f>
        <v/>
      </c>
    </row>
    <row r="12">
      <c r="A12" s="5" t="inlineStr">
        <is>
          <t>NIC-09</t>
        </is>
      </c>
      <c r="B12" s="5" t="inlineStr">
        <is>
          <t>E-Commerce Retention &amp; Klaviyo Email Flows</t>
        </is>
      </c>
      <c r="C12" s="5" t="inlineStr">
        <is>
          <t>7-Figure DTC Brand Operators</t>
        </is>
      </c>
      <c r="D12" s="5" t="n">
        <v>8.800000000000001</v>
      </c>
      <c r="E12" s="5" t="n">
        <v>8.9</v>
      </c>
      <c r="F12" s="5" t="n">
        <v>9</v>
      </c>
      <c r="G12" s="5" t="n">
        <v>8</v>
      </c>
      <c r="H12" s="9">
        <f>ROUND((D12*2.5)+(E12*3.0)+(F12*2.5)+(G12*2.0),2)</f>
        <v/>
      </c>
      <c r="I12" s="8">
        <f>ROUND(H12*2.85,2)</f>
        <v/>
      </c>
      <c r="J12" s="9">
        <f>IF(H12&gt;=75,"GREEN LIGHT (LAUNCH)","REJECT / PIVOT AVATAR")</f>
        <v/>
      </c>
    </row>
    <row r="13">
      <c r="A13" s="10" t="inlineStr">
        <is>
          <t>NIC-10</t>
        </is>
      </c>
      <c r="B13" s="10" t="inlineStr">
        <is>
          <t>Python Data Engineering &amp; Local LLM Pipelines</t>
        </is>
      </c>
      <c r="C13" s="10" t="inlineStr">
        <is>
          <t>Senior Data &amp; ML Engineers</t>
        </is>
      </c>
      <c r="D13" s="10" t="n">
        <v>8.199999999999999</v>
      </c>
      <c r="E13" s="10" t="n">
        <v>8.699999999999999</v>
      </c>
      <c r="F13" s="10" t="n">
        <v>8</v>
      </c>
      <c r="G13" s="10" t="n">
        <v>8.5</v>
      </c>
      <c r="H13" s="14">
        <f>ROUND((D13*2.5)+(E13*3.0)+(F13*2.5)+(G13*2.0),2)</f>
        <v/>
      </c>
      <c r="I13" s="13">
        <f>ROUND(H13*2.85,2)</f>
        <v/>
      </c>
      <c r="J13" s="14">
        <f>IF(H13&gt;=75,"GREEN LIGHT (LAUNCH)","REJECT / PIVOT AVATAR")</f>
        <v/>
      </c>
    </row>
    <row r="14">
      <c r="A14" s="5" t="inlineStr">
        <is>
          <t>NIC-11</t>
        </is>
      </c>
      <c r="B14" s="5" t="inlineStr">
        <is>
          <t>Fractional Product Management Systems</t>
        </is>
      </c>
      <c r="C14" s="5" t="inlineStr">
        <is>
          <t>Senior PMs Transitioning Solo</t>
        </is>
      </c>
      <c r="D14" s="5" t="n">
        <v>8</v>
      </c>
      <c r="E14" s="5" t="n">
        <v>8.4</v>
      </c>
      <c r="F14" s="5" t="n">
        <v>7.8</v>
      </c>
      <c r="G14" s="5" t="n">
        <v>7.9</v>
      </c>
      <c r="H14" s="9">
        <f>ROUND((D14*2.5)+(E14*3.0)+(F14*2.5)+(G14*2.0),2)</f>
        <v/>
      </c>
      <c r="I14" s="8">
        <f>ROUND(H14*2.85,2)</f>
        <v/>
      </c>
      <c r="J14" s="9">
        <f>IF(H14&gt;=75,"GREEN LIGHT (LAUNCH)","REJECT / PIVOT AVATAR")</f>
        <v/>
      </c>
    </row>
    <row r="15">
      <c r="A15" s="10" t="inlineStr">
        <is>
          <t>NIC-12</t>
        </is>
      </c>
      <c r="B15" s="10" t="inlineStr">
        <is>
          <t>Notion &amp; Airtable Operations for Law Firms</t>
        </is>
      </c>
      <c r="C15" s="10" t="inlineStr">
        <is>
          <t>Managing Partners &amp; Ops Directors</t>
        </is>
      </c>
      <c r="D15" s="10" t="n">
        <v>8.300000000000001</v>
      </c>
      <c r="E15" s="10" t="n">
        <v>8.9</v>
      </c>
      <c r="F15" s="10" t="n">
        <v>8.1</v>
      </c>
      <c r="G15" s="10" t="n">
        <v>7.4</v>
      </c>
      <c r="H15" s="14">
        <f>ROUND((D15*2.5)+(E15*3.0)+(F15*2.5)+(G15*2.0),2)</f>
        <v/>
      </c>
      <c r="I15" s="13">
        <f>ROUND(H15*2.85,2)</f>
        <v/>
      </c>
      <c r="J15" s="14">
        <f>IF(H15&gt;=75,"GREEN LIGHT (LAUNCH)","REJECT / PIVOT AVATAR")</f>
        <v/>
      </c>
    </row>
    <row r="16">
      <c r="A16" s="5" t="inlineStr">
        <is>
          <t>NIC-13</t>
        </is>
      </c>
      <c r="B16" s="5" t="inlineStr">
        <is>
          <t>General Productivity Tips for College Students</t>
        </is>
      </c>
      <c r="C16" s="5" t="inlineStr">
        <is>
          <t>Undergraduate Students</t>
        </is>
      </c>
      <c r="D16" s="5" t="n">
        <v>6.2</v>
      </c>
      <c r="E16" s="5" t="n">
        <v>3</v>
      </c>
      <c r="F16" s="5" t="n">
        <v>3.5</v>
      </c>
      <c r="G16" s="5" t="n">
        <v>9.199999999999999</v>
      </c>
      <c r="H16" s="9">
        <f>ROUND((D16*2.5)+(E16*3.0)+(F16*2.5)+(G16*2.0),2)</f>
        <v/>
      </c>
      <c r="I16" s="8">
        <f>ROUND(H16*2.85,2)</f>
        <v/>
      </c>
      <c r="J16" s="9">
        <f>IF(H16&gt;=75,"GREEN LIGHT (LAUNCH)","REJECT / PIVOT AVATAR")</f>
        <v/>
      </c>
    </row>
    <row r="17">
      <c r="A17" s="10" t="inlineStr">
        <is>
          <t>NIC-14</t>
        </is>
      </c>
      <c r="B17" s="10" t="inlineStr">
        <is>
          <t>Daily AI News Roundups Without Tutorials</t>
        </is>
      </c>
      <c r="C17" s="10" t="inlineStr">
        <is>
          <t>Passive Tech Bystanders</t>
        </is>
      </c>
      <c r="D17" s="10" t="n">
        <v>4.5</v>
      </c>
      <c r="E17" s="10" t="n">
        <v>5.2</v>
      </c>
      <c r="F17" s="10" t="n">
        <v>4</v>
      </c>
      <c r="G17" s="10" t="n">
        <v>9</v>
      </c>
      <c r="H17" s="14">
        <f>ROUND((D17*2.5)+(E17*3.0)+(F17*2.5)+(G17*2.0),2)</f>
        <v/>
      </c>
      <c r="I17" s="13">
        <f>ROUND(H17*2.85,2)</f>
        <v/>
      </c>
      <c r="J17" s="14">
        <f>IF(H17&gt;=75,"GREEN LIGHT (LAUNCH)","REJECT / PIVOT AVATAR")</f>
        <v/>
      </c>
    </row>
    <row r="18">
      <c r="A18" s="5" t="inlineStr">
        <is>
          <t>NIC-15</t>
        </is>
      </c>
      <c r="B18" s="5" t="inlineStr">
        <is>
          <t>Generic Lifestyle Vlogging &amp; Gaming Clips</t>
        </is>
      </c>
      <c r="C18" s="5" t="inlineStr">
        <is>
          <t>Broad Consumer Viewers</t>
        </is>
      </c>
      <c r="D18" s="5" t="n">
        <v>3</v>
      </c>
      <c r="E18" s="5" t="n">
        <v>2.5</v>
      </c>
      <c r="F18" s="5" t="n">
        <v>2</v>
      </c>
      <c r="G18" s="5" t="n">
        <v>9.5</v>
      </c>
      <c r="H18" s="9">
        <f>ROUND((D18*2.5)+(E18*3.0)+(F18*2.5)+(G18*2.0),2)</f>
        <v/>
      </c>
      <c r="I18" s="8">
        <f>ROUND(H18*2.85,2)</f>
        <v/>
      </c>
      <c r="J18" s="9">
        <f>IF(H18&gt;=75,"GREEN LIGHT (LAUNCH)","REJECT / PIVOT AVATAR")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5" customWidth="1" min="4" max="4"/>
    <col width="18" customWidth="1" min="5" max="5"/>
    <col width="18" customWidth="1" min="6" max="6"/>
    <col width="14" customWidth="1" min="7" max="7"/>
    <col width="16" customWidth="1" min="8" max="8"/>
    <col width="14" customWidth="1" min="9" max="9"/>
    <col width="16" customWidth="1" min="10" max="10"/>
    <col width="22" customWidth="1" min="11" max="11"/>
  </cols>
  <sheetData>
    <row r="1" ht="26" customHeight="1">
      <c r="A1" s="1" t="inlineStr">
        <is>
          <t>TAB 03 · S.I.G.N.A.L. OUTLIER VALIDATION RADAR &amp; ERI PACKAGING SCORER (CHAPTERS 03–04)</t>
        </is>
      </c>
    </row>
    <row r="2" ht="20" customHeight="1">
      <c r="A2" s="2" t="inlineStr">
        <is>
          <t>Formula: M_outlier = Peer_14d / Peer_Median (&gt;=2.5x)  |  ERI = CTR * (Hold_30s/100) * (AVD/100) (&gt;=2.30)</t>
        </is>
      </c>
    </row>
    <row r="3" ht="24" customHeight="1">
      <c r="A3" s="3" t="inlineStr">
        <is>
          <t>Idea_ID</t>
        </is>
      </c>
      <c r="B3" s="3" t="inlineStr">
        <is>
          <t>Peer_Channel_Source</t>
        </is>
      </c>
      <c r="C3" s="4" t="inlineStr">
        <is>
          <t>Validated_Outlier_Topic_Title</t>
        </is>
      </c>
      <c r="D3" s="4" t="inlineStr">
        <is>
          <t>Peer_14d_Views</t>
        </is>
      </c>
      <c r="E3" s="4" t="inlineStr">
        <is>
          <t>Peer_90d_Median_Views</t>
        </is>
      </c>
      <c r="F3" s="4" t="inlineStr">
        <is>
          <t>Outlier_Multiplier_M</t>
        </is>
      </c>
      <c r="G3" s="4" t="inlineStr">
        <is>
          <t>Target_CTR_Pct</t>
        </is>
      </c>
      <c r="H3" s="4" t="inlineStr">
        <is>
          <t>Target_30s_Hold_Pct</t>
        </is>
      </c>
      <c r="I3" s="4" t="inlineStr">
        <is>
          <t>Target_AVD_Pct</t>
        </is>
      </c>
      <c r="J3" s="4" t="inlineStr">
        <is>
          <t>Expected_ERI_Score</t>
        </is>
      </c>
      <c r="K3" s="4" t="inlineStr">
        <is>
          <t>Production_Gate</t>
        </is>
      </c>
    </row>
    <row r="4">
      <c r="A4" s="5" t="inlineStr">
        <is>
          <t>SIG-01</t>
        </is>
      </c>
      <c r="B4" s="5" t="inlineStr">
        <is>
          <t>OperatorLab HQ</t>
        </is>
      </c>
      <c r="C4" s="5" t="inlineStr">
        <is>
          <t>How I Replaced a 35-Hour Content Team With a 4-Hour AI OS</t>
        </is>
      </c>
      <c r="D4" s="5" t="n">
        <v>48500</v>
      </c>
      <c r="E4" s="5" t="n">
        <v>8200</v>
      </c>
      <c r="F4" s="9">
        <f>ROUND(D4/E4,2)</f>
        <v/>
      </c>
      <c r="G4" s="5" t="n">
        <v>8.4</v>
      </c>
      <c r="H4" s="5" t="n">
        <v>74</v>
      </c>
      <c r="I4" s="5" t="n">
        <v>54</v>
      </c>
      <c r="J4" s="9">
        <f>ROUND(G4*(H4/100)*(I4/100),2)</f>
        <v/>
      </c>
      <c r="K4" s="9">
        <f>IF(AND(F4&gt;=2.5,J4&gt;=2.3),"GREEN LIGHT (LOCK SPRINT)","REJECT (BELOW GATE)")</f>
        <v/>
      </c>
    </row>
    <row r="5">
      <c r="A5" s="10" t="inlineStr">
        <is>
          <t>SIG-02</t>
        </is>
      </c>
      <c r="B5" s="10" t="inlineStr">
        <is>
          <t>SoloSystems Pro</t>
        </is>
      </c>
      <c r="C5" s="10" t="inlineStr">
        <is>
          <t>Why 92% of Creator Newsletters Never Make $1,000 (And the Fix)</t>
        </is>
      </c>
      <c r="D5" s="10" t="n">
        <v>39200</v>
      </c>
      <c r="E5" s="10" t="n">
        <v>9100</v>
      </c>
      <c r="F5" s="14">
        <f>ROUND(D5/E5,2)</f>
        <v/>
      </c>
      <c r="G5" s="10" t="n">
        <v>7.8</v>
      </c>
      <c r="H5" s="10" t="n">
        <v>72.5</v>
      </c>
      <c r="I5" s="10" t="n">
        <v>52</v>
      </c>
      <c r="J5" s="14">
        <f>ROUND(G5*(H5/100)*(I5/100),2)</f>
        <v/>
      </c>
      <c r="K5" s="14">
        <f>IF(AND(F5&gt;=2.5,J5&gt;=2.3),"GREEN LIGHT (LOCK SPRINT)","REJECT (BELOW GATE)")</f>
        <v/>
      </c>
    </row>
    <row r="6">
      <c r="A6" s="5" t="inlineStr">
        <is>
          <t>SIG-03</t>
        </is>
      </c>
      <c r="B6" s="5" t="inlineStr">
        <is>
          <t>B2B Creator Studio</t>
        </is>
      </c>
      <c r="C6" s="5" t="inlineStr">
        <is>
          <t>The 1-to-15 Repurposing Waterfall: 1 Script Into 15 Native Assets</t>
        </is>
      </c>
      <c r="D6" s="5" t="n">
        <v>54000</v>
      </c>
      <c r="E6" s="5" t="n">
        <v>11000</v>
      </c>
      <c r="F6" s="9">
        <f>ROUND(D6/E6,2)</f>
        <v/>
      </c>
      <c r="G6" s="5" t="n">
        <v>8.9</v>
      </c>
      <c r="H6" s="5" t="n">
        <v>75</v>
      </c>
      <c r="I6" s="5" t="n">
        <v>55.5</v>
      </c>
      <c r="J6" s="9">
        <f>ROUND(G6*(H6/100)*(I6/100),2)</f>
        <v/>
      </c>
      <c r="K6" s="9">
        <f>IF(AND(F6&gt;=2.5,J6&gt;=2.3),"GREEN LIGHT (LOCK SPRINT)","REJECT (BELOW GATE)")</f>
        <v/>
      </c>
    </row>
    <row r="7">
      <c r="A7" s="10" t="inlineStr">
        <is>
          <t>SIG-04</t>
        </is>
      </c>
      <c r="B7" s="10" t="inlineStr">
        <is>
          <t>Apex Workflow</t>
        </is>
      </c>
      <c r="C7" s="10" t="inlineStr">
        <is>
          <t>Stop Using One-Shot ChatGPT Prompts: The H.E.A.R.T. Chaining System</t>
        </is>
      </c>
      <c r="D7" s="10" t="n">
        <v>31800</v>
      </c>
      <c r="E7" s="10" t="n">
        <v>7400</v>
      </c>
      <c r="F7" s="14">
        <f>ROUND(D7/E7,2)</f>
        <v/>
      </c>
      <c r="G7" s="10" t="n">
        <v>7.2</v>
      </c>
      <c r="H7" s="10" t="n">
        <v>71</v>
      </c>
      <c r="I7" s="10" t="n">
        <v>51</v>
      </c>
      <c r="J7" s="14">
        <f>ROUND(G7*(H7/100)*(I7/100),2)</f>
        <v/>
      </c>
      <c r="K7" s="14">
        <f>IF(AND(F7&gt;=2.5,J7&gt;=2.3),"GREEN LIGHT (LOCK SPRINT)","REJECT (BELOW GATE)")</f>
        <v/>
      </c>
    </row>
    <row r="8">
      <c r="A8" s="5" t="inlineStr">
        <is>
          <t>SIG-05</t>
        </is>
      </c>
      <c r="B8" s="5" t="inlineStr">
        <is>
          <t>RevenueArchitect</t>
        </is>
      </c>
      <c r="C8" s="5" t="inlineStr">
        <is>
          <t>How to Pre-Sell a $79 Digital Toolkit Before Building Module 2</t>
        </is>
      </c>
      <c r="D8" s="5" t="n">
        <v>29400</v>
      </c>
      <c r="E8" s="5" t="n">
        <v>6800</v>
      </c>
      <c r="F8" s="9">
        <f>ROUND(D8/E8,2)</f>
        <v/>
      </c>
      <c r="G8" s="5" t="n">
        <v>7.5</v>
      </c>
      <c r="H8" s="5" t="n">
        <v>73</v>
      </c>
      <c r="I8" s="5" t="n">
        <v>53</v>
      </c>
      <c r="J8" s="9">
        <f>ROUND(G8*(H8/100)*(I8/100),2)</f>
        <v/>
      </c>
      <c r="K8" s="9">
        <f>IF(AND(F8&gt;=2.5,J8&gt;=2.3),"GREEN LIGHT (LOCK SPRINT)","REJECT (BELOW GATE)")</f>
        <v/>
      </c>
    </row>
    <row r="9">
      <c r="A9" s="10" t="inlineStr">
        <is>
          <t>SIG-06</t>
        </is>
      </c>
      <c r="B9" s="10" t="inlineStr">
        <is>
          <t>NicheEconomics</t>
        </is>
      </c>
      <c r="C9" s="10" t="inlineStr">
        <is>
          <t>Why 5,000 B2B Subscribers Beat 500,000 Entertainment Viewers</t>
        </is>
      </c>
      <c r="D9" s="10" t="n">
        <v>44100</v>
      </c>
      <c r="E9" s="10" t="n">
        <v>9500</v>
      </c>
      <c r="F9" s="14">
        <f>ROUND(D9/E9,2)</f>
        <v/>
      </c>
      <c r="G9" s="10" t="n">
        <v>8.1</v>
      </c>
      <c r="H9" s="10" t="n">
        <v>74</v>
      </c>
      <c r="I9" s="10" t="n">
        <v>52.5</v>
      </c>
      <c r="J9" s="14">
        <f>ROUND(G9*(H9/100)*(I9/100),2)</f>
        <v/>
      </c>
      <c r="K9" s="14">
        <f>IF(AND(F9&gt;=2.5,J9&gt;=2.3),"GREEN LIGHT (LOCK SPRINT)","REJECT (BELOW GATE)")</f>
        <v/>
      </c>
    </row>
    <row r="10">
      <c r="A10" s="5" t="inlineStr">
        <is>
          <t>SIG-07</t>
        </is>
      </c>
      <c r="B10" s="5" t="inlineStr">
        <is>
          <t>HookLab Telemetry</t>
        </is>
      </c>
      <c r="C10" s="5" t="inlineStr">
        <is>
          <t>We Analyzed 200 Viral Openers: The 30-Second C.L.I.P. Formula</t>
        </is>
      </c>
      <c r="D10" s="5" t="n">
        <v>62000</v>
      </c>
      <c r="E10" s="5" t="n">
        <v>12400</v>
      </c>
      <c r="F10" s="9">
        <f>ROUND(D10/E10,2)</f>
        <v/>
      </c>
      <c r="G10" s="5" t="n">
        <v>9.199999999999999</v>
      </c>
      <c r="H10" s="5" t="n">
        <v>76.5</v>
      </c>
      <c r="I10" s="5" t="n">
        <v>56</v>
      </c>
      <c r="J10" s="9">
        <f>ROUND(G10*(H10/100)*(I10/100),2)</f>
        <v/>
      </c>
      <c r="K10" s="9">
        <f>IF(AND(F10&gt;=2.5,J10&gt;=2.3),"GREEN LIGHT (LOCK SPRINT)","REJECT (BELOW GATE)")</f>
        <v/>
      </c>
    </row>
    <row r="11">
      <c r="A11" s="10" t="inlineStr">
        <is>
          <t>SIG-08</t>
        </is>
      </c>
      <c r="B11" s="10" t="inlineStr">
        <is>
          <t>SponsorDeal Ops</t>
        </is>
      </c>
      <c r="C11" s="10" t="inlineStr">
        <is>
          <t>How to Charge $3,200 Per Sponsorship With Under 25,000 Subscribers</t>
        </is>
      </c>
      <c r="D11" s="10" t="n">
        <v>36500</v>
      </c>
      <c r="E11" s="10" t="n">
        <v>8000</v>
      </c>
      <c r="F11" s="14">
        <f>ROUND(D11/E11,2)</f>
        <v/>
      </c>
      <c r="G11" s="10" t="n">
        <v>7.9</v>
      </c>
      <c r="H11" s="10" t="n">
        <v>72</v>
      </c>
      <c r="I11" s="10" t="n">
        <v>53.5</v>
      </c>
      <c r="J11" s="14">
        <f>ROUND(G11*(H11/100)*(I11/100),2)</f>
        <v/>
      </c>
      <c r="K11" s="14">
        <f>IF(AND(F11&gt;=2.5,J11&gt;=2.3),"GREEN LIGHT (LOCK SPRINT)","REJECT (BELOW GATE)")</f>
        <v/>
      </c>
    </row>
    <row r="12">
      <c r="A12" s="5" t="inlineStr">
        <is>
          <t>SIG-09</t>
        </is>
      </c>
      <c r="B12" s="5" t="inlineStr">
        <is>
          <t>MinimalistCreator</t>
        </is>
      </c>
      <c r="C12" s="5" t="inlineStr">
        <is>
          <t>My Zero-Setup Desk Studio: Press Record in 45 Seconds Flat</t>
        </is>
      </c>
      <c r="D12" s="5" t="n">
        <v>27900</v>
      </c>
      <c r="E12" s="5" t="n">
        <v>7900</v>
      </c>
      <c r="F12" s="9">
        <f>ROUND(D12/E12,2)</f>
        <v/>
      </c>
      <c r="G12" s="5" t="n">
        <v>6.9</v>
      </c>
      <c r="H12" s="5" t="n">
        <v>70.5</v>
      </c>
      <c r="I12" s="5" t="n">
        <v>50.5</v>
      </c>
      <c r="J12" s="9">
        <f>ROUND(G12*(H12/100)*(I12/100),2)</f>
        <v/>
      </c>
      <c r="K12" s="9">
        <f>IF(AND(F12&gt;=2.5,J12&gt;=2.3),"GREEN LIGHT (LOCK SPRINT)","REJECT (BELOW GATE)")</f>
        <v/>
      </c>
    </row>
    <row r="13">
      <c r="A13" s="10" t="inlineStr">
        <is>
          <t>SIG-10</t>
        </is>
      </c>
      <c r="B13" s="10" t="inlineStr">
        <is>
          <t>FunnelMechanics</t>
        </is>
      </c>
      <c r="C13" s="10" t="inlineStr">
        <is>
          <t>The 5-Minute Calculator Lead Magnet Converting at 51.4%</t>
        </is>
      </c>
      <c r="D13" s="10" t="n">
        <v>33600</v>
      </c>
      <c r="E13" s="10" t="n">
        <v>8400</v>
      </c>
      <c r="F13" s="14">
        <f>ROUND(D13/E13,2)</f>
        <v/>
      </c>
      <c r="G13" s="10" t="n">
        <v>7.6</v>
      </c>
      <c r="H13" s="10" t="n">
        <v>73.5</v>
      </c>
      <c r="I13" s="10" t="n">
        <v>52</v>
      </c>
      <c r="J13" s="14">
        <f>ROUND(G13*(H13/100)*(I13/100),2)</f>
        <v/>
      </c>
      <c r="K13" s="14">
        <f>IF(AND(F13&gt;=2.5,J13&gt;=2.3),"GREEN LIGHT (LOCK SPRINT)","REJECT (BELOW GATE)")</f>
        <v/>
      </c>
    </row>
    <row r="14">
      <c r="A14" s="5" t="inlineStr">
        <is>
          <t>SIG-11</t>
        </is>
      </c>
      <c r="B14" s="5" t="inlineStr">
        <is>
          <t>PromptVault Eng</t>
        </is>
      </c>
      <c r="C14" s="5" t="inlineStr">
        <is>
          <t>5-Parameter Voice DNA: Make Claude &amp; GPT Sound Exactly Like You</t>
        </is>
      </c>
      <c r="D14" s="5" t="n">
        <v>41200</v>
      </c>
      <c r="E14" s="5" t="n">
        <v>9200</v>
      </c>
      <c r="F14" s="9">
        <f>ROUND(D14/E14,2)</f>
        <v/>
      </c>
      <c r="G14" s="5" t="n">
        <v>8.300000000000001</v>
      </c>
      <c r="H14" s="5" t="n">
        <v>74.5</v>
      </c>
      <c r="I14" s="5" t="n">
        <v>54</v>
      </c>
      <c r="J14" s="9">
        <f>ROUND(G14*(H14/100)*(I14/100),2)</f>
        <v/>
      </c>
      <c r="K14" s="9">
        <f>IF(AND(F14&gt;=2.5,J14&gt;=2.3),"GREEN LIGHT (LOCK SPRINT)","REJECT (BELOW GATE)")</f>
        <v/>
      </c>
    </row>
    <row r="15">
      <c r="A15" s="10" t="inlineStr">
        <is>
          <t>SIG-12</t>
        </is>
      </c>
      <c r="B15" s="10" t="inlineStr">
        <is>
          <t>CheckoutMath</t>
        </is>
      </c>
      <c r="C15" s="10" t="inlineStr">
        <is>
          <t>How Order Bumps &amp; 1-Click Upsells Added +41% Revenue Overnight</t>
        </is>
      </c>
      <c r="D15" s="10" t="n">
        <v>24800</v>
      </c>
      <c r="E15" s="10" t="n">
        <v>6900</v>
      </c>
      <c r="F15" s="14">
        <f>ROUND(D15/E15,2)</f>
        <v/>
      </c>
      <c r="G15" s="10" t="n">
        <v>7.1</v>
      </c>
      <c r="H15" s="10" t="n">
        <v>71.5</v>
      </c>
      <c r="I15" s="10" t="n">
        <v>51.5</v>
      </c>
      <c r="J15" s="14">
        <f>ROUND(G15*(H15/100)*(I15/100),2)</f>
        <v/>
      </c>
      <c r="K15" s="14">
        <f>IF(AND(F15&gt;=2.5,J15&gt;=2.3),"GREEN LIGHT (LOCK SPRINT)","REJECT (BELOW GATE)")</f>
        <v/>
      </c>
    </row>
    <row r="16">
      <c r="A16" s="5" t="inlineStr">
        <is>
          <t>SIG-13</t>
        </is>
      </c>
      <c r="B16" s="5" t="inlineStr">
        <is>
          <t>CreatorCEODesk</t>
        </is>
      </c>
      <c r="C16" s="5" t="inlineStr">
        <is>
          <t>The 20-Minute Friday CEO Review That Saved My Solopreneur Business</t>
        </is>
      </c>
      <c r="D16" s="5" t="n">
        <v>22500</v>
      </c>
      <c r="E16" s="5" t="n">
        <v>6400</v>
      </c>
      <c r="F16" s="9">
        <f>ROUND(D16/E16,2)</f>
        <v/>
      </c>
      <c r="G16" s="5" t="n">
        <v>6.8</v>
      </c>
      <c r="H16" s="5" t="n">
        <v>70.8</v>
      </c>
      <c r="I16" s="5" t="n">
        <v>50.8</v>
      </c>
      <c r="J16" s="9">
        <f>ROUND(G16*(H16/100)*(I16/100),2)</f>
        <v/>
      </c>
      <c r="K16" s="9">
        <f>IF(AND(F16&gt;=2.5,J16&gt;=2.3),"GREEN LIGHT (LOCK SPRINT)","REJECT (BELOW GATE)")</f>
        <v/>
      </c>
    </row>
    <row r="17">
      <c r="A17" s="10" t="inlineStr">
        <is>
          <t>SIG-14</t>
        </is>
      </c>
      <c r="B17" s="10" t="inlineStr">
        <is>
          <t>OutlierRadar</t>
        </is>
      </c>
      <c r="C17" s="10" t="inlineStr">
        <is>
          <t>How to Mine Competitor Comment Sections for Validated Video Ideas</t>
        </is>
      </c>
      <c r="D17" s="10" t="n">
        <v>30400</v>
      </c>
      <c r="E17" s="10" t="n">
        <v>8100</v>
      </c>
      <c r="F17" s="14">
        <f>ROUND(D17/E17,2)</f>
        <v/>
      </c>
      <c r="G17" s="10" t="n">
        <v>7.4</v>
      </c>
      <c r="H17" s="10" t="n">
        <v>72</v>
      </c>
      <c r="I17" s="10" t="n">
        <v>51.8</v>
      </c>
      <c r="J17" s="14">
        <f>ROUND(G17*(H17/100)*(I17/100),2)</f>
        <v/>
      </c>
      <c r="K17" s="14">
        <f>IF(AND(F17&gt;=2.5,J17&gt;=2.3),"GREEN LIGHT (LOCK SPRINT)","REJECT (BELOW GATE)")</f>
        <v/>
      </c>
    </row>
    <row r="18">
      <c r="A18" s="5" t="inlineStr">
        <is>
          <t>SIG-15</t>
        </is>
      </c>
      <c r="B18" s="5" t="inlineStr">
        <is>
          <t>AutomatedMedia</t>
        </is>
      </c>
      <c r="C18" s="5" t="inlineStr">
        <is>
          <t>5 Make/n8n Workflows Every Solo Creator Should Run on Autopilot</t>
        </is>
      </c>
      <c r="D18" s="5" t="n">
        <v>46800</v>
      </c>
      <c r="E18" s="5" t="n">
        <v>10200</v>
      </c>
      <c r="F18" s="9">
        <f>ROUND(D18/E18,2)</f>
        <v/>
      </c>
      <c r="G18" s="5" t="n">
        <v>8.6</v>
      </c>
      <c r="H18" s="5" t="n">
        <v>75</v>
      </c>
      <c r="I18" s="5" t="n">
        <v>54.5</v>
      </c>
      <c r="J18" s="9">
        <f>ROUND(G18*(H18/100)*(I18/100),2)</f>
        <v/>
      </c>
      <c r="K18" s="9">
        <f>IF(AND(F18&gt;=2.5,J18&gt;=2.3),"GREEN LIGHT (LOCK SPRINT)","REJECT (BELOW GATE)")</f>
        <v/>
      </c>
    </row>
    <row r="19">
      <c r="A19" s="10" t="inlineStr">
        <is>
          <t>SIG-16</t>
        </is>
      </c>
      <c r="B19" s="10" t="inlineStr">
        <is>
          <t>ContractShield</t>
        </is>
      </c>
      <c r="C19" s="10" t="inlineStr">
        <is>
          <t>The 2 Clauses Every Creator Must Put in Brand Deal Contracts</t>
        </is>
      </c>
      <c r="D19" s="10" t="n">
        <v>19800</v>
      </c>
      <c r="E19" s="10" t="n">
        <v>6200</v>
      </c>
      <c r="F19" s="14">
        <f>ROUND(D19/E19,2)</f>
        <v/>
      </c>
      <c r="G19" s="10" t="n">
        <v>6.6</v>
      </c>
      <c r="H19" s="10" t="n">
        <v>70.2</v>
      </c>
      <c r="I19" s="10" t="n">
        <v>50.2</v>
      </c>
      <c r="J19" s="14">
        <f>ROUND(G19*(H19/100)*(I19/100),2)</f>
        <v/>
      </c>
      <c r="K19" s="14">
        <f>IF(AND(F19&gt;=2.5,J19&gt;=2.3),"GREEN LIGHT (LOCK SPRINT)","REJECT (BELOW GATE)")</f>
        <v/>
      </c>
    </row>
    <row r="20">
      <c r="A20" s="5" t="inlineStr">
        <is>
          <t>SIG-17</t>
        </is>
      </c>
      <c r="B20" s="5" t="inlineStr">
        <is>
          <t>ThumbnailScience</t>
        </is>
      </c>
      <c r="C20" s="5" t="inlineStr">
        <is>
          <t>The 3-Word Thumbnail Rule That Doubled Our Click-Through Rate</t>
        </is>
      </c>
      <c r="D20" s="5" t="n">
        <v>38900</v>
      </c>
      <c r="E20" s="5" t="n">
        <v>8900</v>
      </c>
      <c r="F20" s="9">
        <f>ROUND(D20/E20,2)</f>
        <v/>
      </c>
      <c r="G20" s="5" t="n">
        <v>8.199999999999999</v>
      </c>
      <c r="H20" s="5" t="n">
        <v>73.8</v>
      </c>
      <c r="I20" s="5" t="n">
        <v>53</v>
      </c>
      <c r="J20" s="9">
        <f>ROUND(G20*(H20/100)*(I20/100),2)</f>
        <v/>
      </c>
      <c r="K20" s="9">
        <f>IF(AND(F20&gt;=2.5,J20&gt;=2.3),"GREEN LIGHT (LOCK SPRINT)","REJECT (BELOW GATE)")</f>
        <v/>
      </c>
    </row>
    <row r="21">
      <c r="A21" s="10" t="inlineStr">
        <is>
          <t>SIG-18</t>
        </is>
      </c>
      <c r="B21" s="10" t="inlineStr">
        <is>
          <t>EmailDeliverability</t>
        </is>
      </c>
      <c r="C21" s="10" t="inlineStr">
        <is>
          <t>Why Your Newsletter Lands in Promotions (90-Day Sunset Fix)</t>
        </is>
      </c>
      <c r="D21" s="10" t="n">
        <v>21600</v>
      </c>
      <c r="E21" s="10" t="n">
        <v>6700</v>
      </c>
      <c r="F21" s="14">
        <f>ROUND(D21/E21,2)</f>
        <v/>
      </c>
      <c r="G21" s="10" t="n">
        <v>6.7</v>
      </c>
      <c r="H21" s="10" t="n">
        <v>70.5</v>
      </c>
      <c r="I21" s="10" t="n">
        <v>50.4</v>
      </c>
      <c r="J21" s="14">
        <f>ROUND(G21*(H21/100)*(I21/100),2)</f>
        <v/>
      </c>
      <c r="K21" s="14">
        <f>IF(AND(F21&gt;=2.5,J21&gt;=2.3),"GREEN LIGHT (LOCK SPRINT)","REJECT (BELOW GATE)")</f>
        <v/>
      </c>
    </row>
    <row r="22">
      <c r="A22" s="5" t="inlineStr">
        <is>
          <t>SIG-19</t>
        </is>
      </c>
      <c r="B22" s="5" t="inlineStr">
        <is>
          <t>LegacyVlogChannel</t>
        </is>
      </c>
      <c r="C22" s="5" t="inlineStr">
        <is>
          <t>My Random Unscripted Morning Coffee Routine Vlog #42</t>
        </is>
      </c>
      <c r="D22" s="5" t="n">
        <v>4100</v>
      </c>
      <c r="E22" s="5" t="n">
        <v>7800</v>
      </c>
      <c r="F22" s="9">
        <f>ROUND(D22/E22,2)</f>
        <v/>
      </c>
      <c r="G22" s="5" t="n">
        <v>3.2</v>
      </c>
      <c r="H22" s="5" t="n">
        <v>42</v>
      </c>
      <c r="I22" s="5" t="n">
        <v>28</v>
      </c>
      <c r="J22" s="9">
        <f>ROUND(G22*(H22/100)*(I22/100),2)</f>
        <v/>
      </c>
      <c r="K22" s="9">
        <f>IF(AND(F22&gt;=2.5,J22&gt;=2.3),"GREEN LIGHT (LOCK SPRINT)","REJECT (BELOW GATE)")</f>
        <v/>
      </c>
    </row>
    <row r="23">
      <c r="A23" s="10" t="inlineStr">
        <is>
          <t>SIG-20</t>
        </is>
      </c>
      <c r="B23" s="10" t="inlineStr">
        <is>
          <t>GenericNewsRecap</t>
        </is>
      </c>
      <c r="C23" s="10" t="inlineStr">
        <is>
          <t>Reading Today's Press Releases For 25 Minutes Straight</t>
        </is>
      </c>
      <c r="D23" s="10" t="n">
        <v>5200</v>
      </c>
      <c r="E23" s="10" t="n">
        <v>8500</v>
      </c>
      <c r="F23" s="14">
        <f>ROUND(D23/E23,2)</f>
        <v/>
      </c>
      <c r="G23" s="10" t="n">
        <v>3.8</v>
      </c>
      <c r="H23" s="10" t="n">
        <v>45</v>
      </c>
      <c r="I23" s="10" t="n">
        <v>31</v>
      </c>
      <c r="J23" s="14">
        <f>ROUND(G23*(H23/100)*(I23/100),2)</f>
        <v/>
      </c>
      <c r="K23" s="14">
        <f>IF(AND(F23&gt;=2.5,J23&gt;=2.3),"GREEN LIGHT (LOCK SPRINT)","REJECT (BELOW GATE)")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0" customWidth="1" min="4" max="4"/>
    <col width="12" customWidth="1" min="5" max="5"/>
    <col width="16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</cols>
  <sheetData>
    <row r="1" ht="26" customHeight="1">
      <c r="A1" s="1" t="inlineStr">
        <is>
          <t>TAB 04 · THE 1-TO-15 OMNICHANNEL REPURPOSING WATERFALL TRACKER (CHAPTER 06)</t>
        </is>
      </c>
    </row>
    <row r="2" ht="20" customHeight="1">
      <c r="A2" s="2" t="inlineStr">
        <is>
          <t>1 Master Pillar Script (2,000 Words) -&gt; 15 Native Platform Deliverables  |  Formula: Effective_RPM = (Rev / Impressions) * 1000</t>
        </is>
      </c>
    </row>
    <row r="3" ht="24" customHeight="1">
      <c r="A3" s="3" t="inlineStr">
        <is>
          <t>Asset_Code</t>
        </is>
      </c>
      <c r="B3" s="3" t="inlineStr">
        <is>
          <t>Platform_Channel</t>
        </is>
      </c>
      <c r="C3" s="4" t="inlineStr">
        <is>
          <t>Derivative_Format_Spec</t>
        </is>
      </c>
      <c r="D3" s="4" t="inlineStr">
        <is>
          <t>Source_HEART_Block</t>
        </is>
      </c>
      <c r="E3" s="4" t="inlineStr">
        <is>
          <t>Prompt_ID</t>
        </is>
      </c>
      <c r="F3" s="4" t="inlineStr">
        <is>
          <t>Batch_Prep_Mins</t>
        </is>
      </c>
      <c r="G3" s="4" t="inlineStr">
        <is>
          <t>Weekly_Impressions</t>
        </is>
      </c>
      <c r="H3" s="4" t="inlineStr">
        <is>
          <t>UTM_Bridge_Clicks</t>
        </is>
      </c>
      <c r="I3" s="4" t="inlineStr">
        <is>
          <t>Email_Opt_Ins</t>
        </is>
      </c>
      <c r="J3" s="4" t="inlineStr">
        <is>
          <t>Direct_Attributed_Rev_USD</t>
        </is>
      </c>
      <c r="K3" s="4" t="inlineStr">
        <is>
          <t>Effective_Asset_RPM_USD</t>
        </is>
      </c>
    </row>
    <row r="4">
      <c r="A4" s="5" t="inlineStr">
        <is>
          <t>A01-PILLAR</t>
        </is>
      </c>
      <c r="B4" s="5" t="inlineStr">
        <is>
          <t>YouTube Long-Form</t>
        </is>
      </c>
      <c r="C4" s="5" t="inlineStr">
        <is>
          <t>14-Min Master H.E.A.R.T. Tutorial Video</t>
        </is>
      </c>
      <c r="D4" s="5" t="inlineStr">
        <is>
          <t>Full Script (H-E-A-R-T)</t>
        </is>
      </c>
      <c r="E4" s="5" t="inlineStr">
        <is>
          <t>P22-P25</t>
        </is>
      </c>
      <c r="F4" s="5" t="n">
        <v>90</v>
      </c>
      <c r="G4" s="5" t="n">
        <v>18500</v>
      </c>
      <c r="H4" s="5" t="n">
        <v>1120</v>
      </c>
      <c r="I4" s="5" t="n">
        <v>560</v>
      </c>
      <c r="J4" s="7" t="n">
        <v>2450</v>
      </c>
      <c r="K4" s="8">
        <f>ROUND((J4/G4)*1000,2)</f>
        <v/>
      </c>
    </row>
    <row r="5">
      <c r="A5" s="10" t="inlineStr">
        <is>
          <t>A02-SHORT1</t>
        </is>
      </c>
      <c r="B5" s="10" t="inlineStr">
        <is>
          <t>YT Shorts / Reels / TT</t>
        </is>
      </c>
      <c r="C5" s="10" t="inlineStr">
        <is>
          <t>60s Contrarian Status-Quo Math Hook</t>
        </is>
      </c>
      <c r="D5" s="10" t="inlineStr">
        <is>
          <t>Block H (Teardown)</t>
        </is>
      </c>
      <c r="E5" s="10" t="inlineStr">
        <is>
          <t>P26</t>
        </is>
      </c>
      <c r="F5" s="10" t="n">
        <v>6</v>
      </c>
      <c r="G5" s="10" t="n">
        <v>14200</v>
      </c>
      <c r="H5" s="10" t="n">
        <v>285</v>
      </c>
      <c r="I5" s="10" t="n">
        <v>138</v>
      </c>
      <c r="J5" s="12" t="n">
        <v>310</v>
      </c>
      <c r="K5" s="13">
        <f>ROUND((J5/G5)*1000,2)</f>
        <v/>
      </c>
    </row>
    <row r="6">
      <c r="A6" s="5" t="inlineStr">
        <is>
          <t>A03-SHORT2</t>
        </is>
      </c>
      <c r="B6" s="5" t="inlineStr">
        <is>
          <t>YT Shorts / Reels / TT</t>
        </is>
      </c>
      <c r="C6" s="5" t="inlineStr">
        <is>
          <t>60s Before vs After Operator Case Study</t>
        </is>
      </c>
      <c r="D6" s="5" t="inlineStr">
        <is>
          <t>Block E (Evidence)</t>
        </is>
      </c>
      <c r="E6" s="5" t="inlineStr">
        <is>
          <t>P26</t>
        </is>
      </c>
      <c r="F6" s="5" t="n">
        <v>6</v>
      </c>
      <c r="G6" s="5" t="n">
        <v>11800</v>
      </c>
      <c r="H6" s="5" t="n">
        <v>240</v>
      </c>
      <c r="I6" s="5" t="n">
        <v>115</v>
      </c>
      <c r="J6" s="7" t="n">
        <v>265</v>
      </c>
      <c r="K6" s="8">
        <f>ROUND((J6/G6)*1000,2)</f>
        <v/>
      </c>
    </row>
    <row r="7">
      <c r="A7" s="10" t="inlineStr">
        <is>
          <t>A04-SHORT3</t>
        </is>
      </c>
      <c r="B7" s="10" t="inlineStr">
        <is>
          <t>YT Shorts / Reels / TT</t>
        </is>
      </c>
      <c r="C7" s="10" t="inlineStr">
        <is>
          <t>60s Core Formula Screen Walkthrough</t>
        </is>
      </c>
      <c r="D7" s="10" t="inlineStr">
        <is>
          <t>Block A (Action Step 1)</t>
        </is>
      </c>
      <c r="E7" s="10" t="inlineStr">
        <is>
          <t>P26</t>
        </is>
      </c>
      <c r="F7" s="10" t="n">
        <v>6</v>
      </c>
      <c r="G7" s="10" t="n">
        <v>15600</v>
      </c>
      <c r="H7" s="10" t="n">
        <v>340</v>
      </c>
      <c r="I7" s="10" t="n">
        <v>168</v>
      </c>
      <c r="J7" s="12" t="n">
        <v>390</v>
      </c>
      <c r="K7" s="13">
        <f>ROUND((J7/G7)*1000,2)</f>
        <v/>
      </c>
    </row>
    <row r="8">
      <c r="A8" s="5" t="inlineStr">
        <is>
          <t>A05-SHORT4</t>
        </is>
      </c>
      <c r="B8" s="5" t="inlineStr">
        <is>
          <t>YT Shorts / Reels / TT</t>
        </is>
      </c>
      <c r="C8" s="5" t="inlineStr">
        <is>
          <t>60s #1 Implementation Mistake Fix</t>
        </is>
      </c>
      <c r="D8" s="5" t="inlineStr">
        <is>
          <t>Block R (Roadblock)</t>
        </is>
      </c>
      <c r="E8" s="5" t="inlineStr">
        <is>
          <t>P26</t>
        </is>
      </c>
      <c r="F8" s="5" t="n">
        <v>6</v>
      </c>
      <c r="G8" s="5" t="n">
        <v>9800</v>
      </c>
      <c r="H8" s="5" t="n">
        <v>195</v>
      </c>
      <c r="I8" s="5" t="n">
        <v>92</v>
      </c>
      <c r="J8" s="7" t="n">
        <v>195</v>
      </c>
      <c r="K8" s="8">
        <f>ROUND((J8/G8)*1000,2)</f>
        <v/>
      </c>
    </row>
    <row r="9">
      <c r="A9" s="10" t="inlineStr">
        <is>
          <t>A06-SHORT5</t>
        </is>
      </c>
      <c r="B9" s="10" t="inlineStr">
        <is>
          <t>YT Shorts / Reels / TT</t>
        </is>
      </c>
      <c r="C9" s="10" t="inlineStr">
        <is>
          <t>60s Live Prompt / Template Demo</t>
        </is>
      </c>
      <c r="D9" s="10" t="inlineStr">
        <is>
          <t>Mid-Roll Bridge</t>
        </is>
      </c>
      <c r="E9" s="10" t="inlineStr">
        <is>
          <t>P26</t>
        </is>
      </c>
      <c r="F9" s="10" t="n">
        <v>6</v>
      </c>
      <c r="G9" s="10" t="n">
        <v>12400</v>
      </c>
      <c r="H9" s="10" t="n">
        <v>290</v>
      </c>
      <c r="I9" s="10" t="n">
        <v>145</v>
      </c>
      <c r="J9" s="12" t="n">
        <v>340</v>
      </c>
      <c r="K9" s="13">
        <f>ROUND((J9/G9)*1000,2)</f>
        <v/>
      </c>
    </row>
    <row r="10">
      <c r="A10" s="5" t="inlineStr">
        <is>
          <t>A07-LI-POST1</t>
        </is>
      </c>
      <c r="B10" s="5" t="inlineStr">
        <is>
          <t>LinkedIn Feed</t>
        </is>
      </c>
      <c r="C10" s="5" t="inlineStr">
        <is>
          <t>Long-Form Metric Contrast Framework Post</t>
        </is>
      </c>
      <c r="D10" s="5" t="inlineStr">
        <is>
          <t>Block H + Block A</t>
        </is>
      </c>
      <c r="E10" s="5" t="inlineStr">
        <is>
          <t>P27</t>
        </is>
      </c>
      <c r="F10" s="5" t="n">
        <v>8</v>
      </c>
      <c r="G10" s="5" t="n">
        <v>9400</v>
      </c>
      <c r="H10" s="5" t="n">
        <v>380</v>
      </c>
      <c r="I10" s="5" t="n">
        <v>188</v>
      </c>
      <c r="J10" s="7" t="n">
        <v>520</v>
      </c>
      <c r="K10" s="8">
        <f>ROUND((J10/G10)*1000,2)</f>
        <v/>
      </c>
    </row>
    <row r="11">
      <c r="A11" s="10" t="inlineStr">
        <is>
          <t>A08-LI-POST2</t>
        </is>
      </c>
      <c r="B11" s="10" t="inlineStr">
        <is>
          <t>LinkedIn Feed</t>
        </is>
      </c>
      <c r="C11" s="10" t="inlineStr">
        <is>
          <t>Operator Case Study &amp; Unit-Economics Breakdown</t>
        </is>
      </c>
      <c r="D11" s="10" t="inlineStr">
        <is>
          <t>Block E + Block T</t>
        </is>
      </c>
      <c r="E11" s="10" t="inlineStr">
        <is>
          <t>P27</t>
        </is>
      </c>
      <c r="F11" s="10" t="n">
        <v>8</v>
      </c>
      <c r="G11" s="10" t="n">
        <v>7600</v>
      </c>
      <c r="H11" s="10" t="n">
        <v>310</v>
      </c>
      <c r="I11" s="10" t="n">
        <v>152</v>
      </c>
      <c r="J11" s="12" t="n">
        <v>440</v>
      </c>
      <c r="K11" s="13">
        <f>ROUND((J11/G11)*1000,2)</f>
        <v/>
      </c>
    </row>
    <row r="12">
      <c r="A12" s="5" t="inlineStr">
        <is>
          <t>A09-X-THREAD</t>
        </is>
      </c>
      <c r="B12" s="5" t="inlineStr">
        <is>
          <t>X (Twitter)</t>
        </is>
      </c>
      <c r="C12" s="5" t="inlineStr">
        <is>
          <t>8-Post Bookmark-Worthy System Thread</t>
        </is>
      </c>
      <c r="D12" s="5" t="inlineStr">
        <is>
          <t>Blocks H, E, A, R</t>
        </is>
      </c>
      <c r="E12" s="5" t="inlineStr">
        <is>
          <t>P27</t>
        </is>
      </c>
      <c r="F12" s="5" t="n">
        <v>8</v>
      </c>
      <c r="G12" s="5" t="n">
        <v>16200</v>
      </c>
      <c r="H12" s="5" t="n">
        <v>420</v>
      </c>
      <c r="I12" s="5" t="n">
        <v>205</v>
      </c>
      <c r="J12" s="7" t="n">
        <v>490</v>
      </c>
      <c r="K12" s="8">
        <f>ROUND((J12/G12)*1000,2)</f>
        <v/>
      </c>
    </row>
    <row r="13">
      <c r="A13" s="10" t="inlineStr">
        <is>
          <t>A10-X-ESSAY</t>
        </is>
      </c>
      <c r="B13" s="10" t="inlineStr">
        <is>
          <t>X (Twitter)</t>
        </is>
      </c>
      <c r="C13" s="10" t="inlineStr">
        <is>
          <t>Single-Image Atomic Essay + SVG Diagram</t>
        </is>
      </c>
      <c r="D13" s="10" t="inlineStr">
        <is>
          <t>Chapter Mindmap SVG</t>
        </is>
      </c>
      <c r="E13" s="10" t="inlineStr">
        <is>
          <t>P27</t>
        </is>
      </c>
      <c r="F13" s="10" t="n">
        <v>5</v>
      </c>
      <c r="G13" s="10" t="n">
        <v>8900</v>
      </c>
      <c r="H13" s="10" t="n">
        <v>230</v>
      </c>
      <c r="I13" s="10" t="n">
        <v>110</v>
      </c>
      <c r="J13" s="12" t="n">
        <v>260</v>
      </c>
      <c r="K13" s="13">
        <f>ROUND((J13/G13)*1000,2)</f>
        <v/>
      </c>
    </row>
    <row r="14">
      <c r="A14" s="5" t="inlineStr">
        <is>
          <t>A11-CAROUSEL1</t>
        </is>
      </c>
      <c r="B14" s="5" t="inlineStr">
        <is>
          <t>LinkedIn PDF / IG</t>
        </is>
      </c>
      <c r="C14" s="5" t="inlineStr">
        <is>
          <t>8-Slide Step-by-Step Blueprint Carousel</t>
        </is>
      </c>
      <c r="D14" s="5" t="inlineStr">
        <is>
          <t>Block A (3-Step System)</t>
        </is>
      </c>
      <c r="E14" s="5" t="inlineStr">
        <is>
          <t>P28</t>
        </is>
      </c>
      <c r="F14" s="5" t="n">
        <v>10</v>
      </c>
      <c r="G14" s="5" t="n">
        <v>11200</v>
      </c>
      <c r="H14" s="5" t="n">
        <v>460</v>
      </c>
      <c r="I14" s="5" t="n">
        <v>228</v>
      </c>
      <c r="J14" s="7" t="n">
        <v>610</v>
      </c>
      <c r="K14" s="8">
        <f>ROUND((J14/G14)*1000,2)</f>
        <v/>
      </c>
    </row>
    <row r="15">
      <c r="A15" s="10" t="inlineStr">
        <is>
          <t>A12-CAROUSEL2</t>
        </is>
      </c>
      <c r="B15" s="10" t="inlineStr">
        <is>
          <t>LinkedIn PDF / IG</t>
        </is>
      </c>
      <c r="C15" s="10" t="inlineStr">
        <is>
          <t>8-Slide Treadmill vs Operator Math Cards</t>
        </is>
      </c>
      <c r="D15" s="10" t="inlineStr">
        <is>
          <t>Block H + Block E</t>
        </is>
      </c>
      <c r="E15" s="10" t="inlineStr">
        <is>
          <t>P28</t>
        </is>
      </c>
      <c r="F15" s="10" t="n">
        <v>10</v>
      </c>
      <c r="G15" s="10" t="n">
        <v>8400</v>
      </c>
      <c r="H15" s="10" t="n">
        <v>330</v>
      </c>
      <c r="I15" s="10" t="n">
        <v>160</v>
      </c>
      <c r="J15" s="12" t="n">
        <v>430</v>
      </c>
      <c r="K15" s="13">
        <f>ROUND((J15/G15)*1000,2)</f>
        <v/>
      </c>
    </row>
    <row r="16">
      <c r="A16" s="5" t="inlineStr">
        <is>
          <t>A13-CAROUSEL3</t>
        </is>
      </c>
      <c r="B16" s="5" t="inlineStr">
        <is>
          <t>LinkedIn PDF / IG</t>
        </is>
      </c>
      <c r="C16" s="5" t="inlineStr">
        <is>
          <t>8-Slide Copy-Paste Prompt Swipe Deck</t>
        </is>
      </c>
      <c r="D16" s="5" t="inlineStr">
        <is>
          <t>Chapter Prompt Vault</t>
        </is>
      </c>
      <c r="E16" s="5" t="inlineStr">
        <is>
          <t>P28</t>
        </is>
      </c>
      <c r="F16" s="5" t="n">
        <v>10</v>
      </c>
      <c r="G16" s="5" t="n">
        <v>9900</v>
      </c>
      <c r="H16" s="5" t="n">
        <v>410</v>
      </c>
      <c r="I16" s="5" t="n">
        <v>202</v>
      </c>
      <c r="J16" s="7" t="n">
        <v>540</v>
      </c>
      <c r="K16" s="8">
        <f>ROUND((J16/G16)*1000,2)</f>
        <v/>
      </c>
    </row>
    <row r="17">
      <c r="A17" s="10" t="inlineStr">
        <is>
          <t>A14-EMAIL-TUE</t>
        </is>
      </c>
      <c r="B17" s="10" t="inlineStr">
        <is>
          <t>Owned Newsletter</t>
        </is>
      </c>
      <c r="C17" s="10" t="inlineStr">
        <is>
          <t>Tuesday Deep-Dive Written Issue (1,000 Wds)</t>
        </is>
      </c>
      <c r="D17" s="10" t="inlineStr">
        <is>
          <t>Full Written Adaptation</t>
        </is>
      </c>
      <c r="E17" s="10" t="inlineStr">
        <is>
          <t>P29</t>
        </is>
      </c>
      <c r="F17" s="10" t="n">
        <v>15</v>
      </c>
      <c r="G17" s="10" t="n">
        <v>6800</v>
      </c>
      <c r="H17" s="10" t="n">
        <v>640</v>
      </c>
      <c r="I17" s="10" t="n">
        <v>95</v>
      </c>
      <c r="J17" s="12" t="n">
        <v>1180</v>
      </c>
      <c r="K17" s="13">
        <f>ROUND((J17/G17)*1000,2)</f>
        <v/>
      </c>
    </row>
    <row r="18">
      <c r="A18" s="5" t="inlineStr">
        <is>
          <t>A15-EMAIL-FRI</t>
        </is>
      </c>
      <c r="B18" s="5" t="inlineStr">
        <is>
          <t>Owned Newsletter</t>
        </is>
      </c>
      <c r="C18" s="5" t="inlineStr">
        <is>
          <t>Friday Tactical Checklist + Offer/Sponsor Bridge</t>
        </is>
      </c>
      <c r="D18" s="5" t="inlineStr">
        <is>
          <t>Block R + Value Ladder</t>
        </is>
      </c>
      <c r="E18" s="5" t="inlineStr">
        <is>
          <t>P29</t>
        </is>
      </c>
      <c r="F18" s="5" t="n">
        <v>15</v>
      </c>
      <c r="G18" s="5" t="n">
        <v>6500</v>
      </c>
      <c r="H18" s="5" t="n">
        <v>720</v>
      </c>
      <c r="I18" s="5" t="n">
        <v>80</v>
      </c>
      <c r="J18" s="7" t="n">
        <v>1890</v>
      </c>
      <c r="K18" s="8">
        <f>ROUND((J18/G18)*1000,2)</f>
        <v/>
      </c>
    </row>
    <row r="19">
      <c r="A19" s="15" t="inlineStr">
        <is>
          <t>15-ASSET TOTAL</t>
        </is>
      </c>
      <c r="B19" s="16" t="n"/>
      <c r="C19" s="16" t="n"/>
      <c r="D19" s="16" t="n"/>
      <c r="E19" s="16" t="n"/>
      <c r="F19" s="20">
        <f>SUM(F4:F18)</f>
        <v/>
      </c>
      <c r="G19" s="20">
        <f>SUM(G4:G18)</f>
        <v/>
      </c>
      <c r="H19" s="20">
        <f>SUM(H4:H18)</f>
        <v/>
      </c>
      <c r="I19" s="20">
        <f>SUM(I4:I18)</f>
        <v/>
      </c>
      <c r="J19" s="19">
        <f>SUM(J4:J18)</f>
        <v/>
      </c>
      <c r="K19" s="19">
        <f>ROUND((J19/G19)*1000,2)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0" customWidth="1" min="4" max="4"/>
    <col width="15" customWidth="1" min="5" max="5"/>
    <col width="16" customWidth="1" min="6" max="6"/>
    <col width="20" customWidth="1" min="7" max="7"/>
    <col width="22" customWidth="1" min="8" max="8"/>
    <col width="18" customWidth="1" min="9" max="9"/>
    <col width="20" customWidth="1" min="10" max="10"/>
    <col width="20" customWidth="1" min="11" max="11"/>
    <col width="18" customWidth="1" min="12" max="12"/>
  </cols>
  <sheetData>
    <row r="1" ht="26" customHeight="1">
      <c r="A1" s="1" t="inlineStr">
        <is>
          <t>TAB 05 · OWNED AUDIENCE OPT-IN FUNNEL &amp; 5-DAY WELCOME SEQUENCE LTV MODEL (CHAPTER 08)</t>
        </is>
      </c>
    </row>
    <row r="2" ht="20" customHeight="1">
      <c r="A2" s="2" t="inlineStr">
        <is>
          <t>Target Gates: Opt-In CVR &gt;= 45.0%  |  5-Day Tripwire CVR &gt;= 4.5%  |  90-Day Subscriber LTV &gt;= $5.00</t>
        </is>
      </c>
    </row>
    <row r="3" ht="24" customHeight="1">
      <c r="A3" s="3" t="inlineStr">
        <is>
          <t>Month_Cohort</t>
        </is>
      </c>
      <c r="B3" s="3" t="inlineStr">
        <is>
          <t>Omnichannel_Views</t>
        </is>
      </c>
      <c r="C3" s="4" t="inlineStr">
        <is>
          <t>Bridge_CTR_Pct</t>
        </is>
      </c>
      <c r="D3" s="4" t="inlineStr">
        <is>
          <t>Landing_Page_Visitors</t>
        </is>
      </c>
      <c r="E3" s="4" t="inlineStr">
        <is>
          <t>Opt_In_CVR_Pct</t>
        </is>
      </c>
      <c r="F3" s="4" t="inlineStr">
        <is>
          <t>New_Email_Subs</t>
        </is>
      </c>
      <c r="G3" s="4" t="inlineStr">
        <is>
          <t>Cumulative_Active_Subs</t>
        </is>
      </c>
      <c r="H3" s="4" t="inlineStr">
        <is>
          <t>Welcome_Tripwire_Buyers</t>
        </is>
      </c>
      <c r="I3" s="4" t="inlineStr">
        <is>
          <t>Tripwire_Rev_USD</t>
        </is>
      </c>
      <c r="J3" s="4" t="inlineStr">
        <is>
          <t>Core_OS_Launch_Rev_USD</t>
        </is>
      </c>
      <c r="K3" s="4" t="inlineStr">
        <is>
          <t>Total_Funnel_Rev_USD</t>
        </is>
      </c>
      <c r="L3" s="4" t="inlineStr">
        <is>
          <t>Sub_90d_LTV_USD</t>
        </is>
      </c>
    </row>
    <row r="4">
      <c r="A4" s="5" t="inlineStr">
        <is>
          <t>Month 01</t>
        </is>
      </c>
      <c r="B4" s="5" t="n">
        <v>42000</v>
      </c>
      <c r="C4" s="21" t="n">
        <v>0.038</v>
      </c>
      <c r="D4" s="9">
        <f>ROUND(B4*C4,0)</f>
        <v/>
      </c>
      <c r="E4" s="21" t="n">
        <v>0.46</v>
      </c>
      <c r="F4" s="9">
        <f>ROUND(D4*E4,0)</f>
        <v/>
      </c>
      <c r="G4" s="9">
        <f>1000+F4</f>
        <v/>
      </c>
      <c r="H4" s="9">
        <f>ROUND(F4*0.055,0)</f>
        <v/>
      </c>
      <c r="I4" s="8">
        <f>ROUND(H4*34.00,2)</f>
        <v/>
      </c>
      <c r="J4" s="7" t="n">
        <v>1200</v>
      </c>
      <c r="K4" s="8">
        <f>I4+J4</f>
        <v/>
      </c>
      <c r="L4" s="8">
        <f>ROUND(K4/F4,2)</f>
        <v/>
      </c>
    </row>
    <row r="5">
      <c r="A5" s="10" t="inlineStr">
        <is>
          <t>Month 02</t>
        </is>
      </c>
      <c r="B5" s="10" t="n">
        <v>48500</v>
      </c>
      <c r="C5" s="22" t="n">
        <v>0.04</v>
      </c>
      <c r="D5" s="14">
        <f>ROUND(B5*C5,0)</f>
        <v/>
      </c>
      <c r="E5" s="22" t="n">
        <v>0.47</v>
      </c>
      <c r="F5" s="14">
        <f>ROUND(D5*E5,0)</f>
        <v/>
      </c>
      <c r="G5" s="14">
        <f>ROUND(G4*0.98+F5,0)</f>
        <v/>
      </c>
      <c r="H5" s="14">
        <f>ROUND(F5*0.055,0)</f>
        <v/>
      </c>
      <c r="I5" s="13">
        <f>ROUND(H5*34.00,2)</f>
        <v/>
      </c>
      <c r="J5" s="12" t="n">
        <v>1650</v>
      </c>
      <c r="K5" s="13">
        <f>I5+J5</f>
        <v/>
      </c>
      <c r="L5" s="13">
        <f>ROUND(K5/F5,2)</f>
        <v/>
      </c>
    </row>
    <row r="6">
      <c r="A6" s="5" t="inlineStr">
        <is>
          <t>Month 03</t>
        </is>
      </c>
      <c r="B6" s="5" t="n">
        <v>56000</v>
      </c>
      <c r="C6" s="21" t="n">
        <v>0.041</v>
      </c>
      <c r="D6" s="9">
        <f>ROUND(B6*C6,0)</f>
        <v/>
      </c>
      <c r="E6" s="21" t="n">
        <v>0.48</v>
      </c>
      <c r="F6" s="9">
        <f>ROUND(D6*E6,0)</f>
        <v/>
      </c>
      <c r="G6" s="9">
        <f>ROUND(G5*0.98+F6,0)</f>
        <v/>
      </c>
      <c r="H6" s="9">
        <f>ROUND(F6*0.055,0)</f>
        <v/>
      </c>
      <c r="I6" s="8">
        <f>ROUND(H6*34.00,2)</f>
        <v/>
      </c>
      <c r="J6" s="7" t="n">
        <v>2200</v>
      </c>
      <c r="K6" s="8">
        <f>I6+J6</f>
        <v/>
      </c>
      <c r="L6" s="8">
        <f>ROUND(K6/F6,2)</f>
        <v/>
      </c>
    </row>
    <row r="7">
      <c r="A7" s="10" t="inlineStr">
        <is>
          <t>Month 04</t>
        </is>
      </c>
      <c r="B7" s="10" t="n">
        <v>64000</v>
      </c>
      <c r="C7" s="22" t="n">
        <v>0.042</v>
      </c>
      <c r="D7" s="14">
        <f>ROUND(B7*C7,0)</f>
        <v/>
      </c>
      <c r="E7" s="22" t="n">
        <v>0.48</v>
      </c>
      <c r="F7" s="14">
        <f>ROUND(D7*E7,0)</f>
        <v/>
      </c>
      <c r="G7" s="14">
        <f>ROUND(G6*0.98+F7,0)</f>
        <v/>
      </c>
      <c r="H7" s="14">
        <f>ROUND(F7*0.055,0)</f>
        <v/>
      </c>
      <c r="I7" s="13">
        <f>ROUND(H7*34.00,2)</f>
        <v/>
      </c>
      <c r="J7" s="12" t="n">
        <v>2850</v>
      </c>
      <c r="K7" s="13">
        <f>I7+J7</f>
        <v/>
      </c>
      <c r="L7" s="13">
        <f>ROUND(K7/F7,2)</f>
        <v/>
      </c>
    </row>
    <row r="8">
      <c r="A8" s="5" t="inlineStr">
        <is>
          <t>Month 05</t>
        </is>
      </c>
      <c r="B8" s="5" t="n">
        <v>73500</v>
      </c>
      <c r="C8" s="21" t="n">
        <v>0.043</v>
      </c>
      <c r="D8" s="9">
        <f>ROUND(B8*C8,0)</f>
        <v/>
      </c>
      <c r="E8" s="21" t="n">
        <v>0.49</v>
      </c>
      <c r="F8" s="9">
        <f>ROUND(D8*E8,0)</f>
        <v/>
      </c>
      <c r="G8" s="9">
        <f>ROUND(G7*0.98+F8,0)</f>
        <v/>
      </c>
      <c r="H8" s="9">
        <f>ROUND(F8*0.055,0)</f>
        <v/>
      </c>
      <c r="I8" s="8">
        <f>ROUND(H8*34.00,2)</f>
        <v/>
      </c>
      <c r="J8" s="7" t="n">
        <v>3400</v>
      </c>
      <c r="K8" s="8">
        <f>I8+J8</f>
        <v/>
      </c>
      <c r="L8" s="8">
        <f>ROUND(K8/F8,2)</f>
        <v/>
      </c>
    </row>
    <row r="9">
      <c r="A9" s="10" t="inlineStr">
        <is>
          <t>Month 06</t>
        </is>
      </c>
      <c r="B9" s="10" t="n">
        <v>84000</v>
      </c>
      <c r="C9" s="22" t="n">
        <v>0.044</v>
      </c>
      <c r="D9" s="14">
        <f>ROUND(B9*C9,0)</f>
        <v/>
      </c>
      <c r="E9" s="22" t="n">
        <v>0.5</v>
      </c>
      <c r="F9" s="14">
        <f>ROUND(D9*E9,0)</f>
        <v/>
      </c>
      <c r="G9" s="14">
        <f>ROUND(G8*0.98+F9,0)</f>
        <v/>
      </c>
      <c r="H9" s="14">
        <f>ROUND(F9*0.055,0)</f>
        <v/>
      </c>
      <c r="I9" s="13">
        <f>ROUND(H9*34.00,2)</f>
        <v/>
      </c>
      <c r="J9" s="12" t="n">
        <v>4100</v>
      </c>
      <c r="K9" s="13">
        <f>I9+J9</f>
        <v/>
      </c>
      <c r="L9" s="13">
        <f>ROUND(K9/F9,2)</f>
        <v/>
      </c>
    </row>
    <row r="10">
      <c r="A10" s="5" t="inlineStr">
        <is>
          <t>Month 07</t>
        </is>
      </c>
      <c r="B10" s="5" t="n">
        <v>95000</v>
      </c>
      <c r="C10" s="21" t="n">
        <v>0.045</v>
      </c>
      <c r="D10" s="9">
        <f>ROUND(B10*C10,0)</f>
        <v/>
      </c>
      <c r="E10" s="21" t="n">
        <v>0.5</v>
      </c>
      <c r="F10" s="9">
        <f>ROUND(D10*E10,0)</f>
        <v/>
      </c>
      <c r="G10" s="9">
        <f>ROUND(G9*0.98+F10,0)</f>
        <v/>
      </c>
      <c r="H10" s="9">
        <f>ROUND(F10*0.055,0)</f>
        <v/>
      </c>
      <c r="I10" s="8">
        <f>ROUND(H10*34.00,2)</f>
        <v/>
      </c>
      <c r="J10" s="7" t="n">
        <v>4950</v>
      </c>
      <c r="K10" s="8">
        <f>I10+J10</f>
        <v/>
      </c>
      <c r="L10" s="8">
        <f>ROUND(K10/F10,2)</f>
        <v/>
      </c>
    </row>
    <row r="11">
      <c r="A11" s="10" t="inlineStr">
        <is>
          <t>Month 08</t>
        </is>
      </c>
      <c r="B11" s="10" t="n">
        <v>108000</v>
      </c>
      <c r="C11" s="22" t="n">
        <v>0.046</v>
      </c>
      <c r="D11" s="14">
        <f>ROUND(B11*C11,0)</f>
        <v/>
      </c>
      <c r="E11" s="22" t="n">
        <v>0.51</v>
      </c>
      <c r="F11" s="14">
        <f>ROUND(D11*E11,0)</f>
        <v/>
      </c>
      <c r="G11" s="14">
        <f>ROUND(G10*0.98+F11,0)</f>
        <v/>
      </c>
      <c r="H11" s="14">
        <f>ROUND(F11*0.055,0)</f>
        <v/>
      </c>
      <c r="I11" s="13">
        <f>ROUND(H11*34.00,2)</f>
        <v/>
      </c>
      <c r="J11" s="12" t="n">
        <v>5800</v>
      </c>
      <c r="K11" s="13">
        <f>I11+J11</f>
        <v/>
      </c>
      <c r="L11" s="13">
        <f>ROUND(K11/F11,2)</f>
        <v/>
      </c>
    </row>
    <row r="12">
      <c r="A12" s="5" t="inlineStr">
        <is>
          <t>Month 09</t>
        </is>
      </c>
      <c r="B12" s="5" t="n">
        <v>122000</v>
      </c>
      <c r="C12" s="21" t="n">
        <v>0.047</v>
      </c>
      <c r="D12" s="9">
        <f>ROUND(B12*C12,0)</f>
        <v/>
      </c>
      <c r="E12" s="21" t="n">
        <v>0.51</v>
      </c>
      <c r="F12" s="9">
        <f>ROUND(D12*E12,0)</f>
        <v/>
      </c>
      <c r="G12" s="9">
        <f>ROUND(G11*0.98+F12,0)</f>
        <v/>
      </c>
      <c r="H12" s="9">
        <f>ROUND(F12*0.055,0)</f>
        <v/>
      </c>
      <c r="I12" s="8">
        <f>ROUND(H12*34.00,2)</f>
        <v/>
      </c>
      <c r="J12" s="7" t="n">
        <v>6750</v>
      </c>
      <c r="K12" s="8">
        <f>I12+J12</f>
        <v/>
      </c>
      <c r="L12" s="8">
        <f>ROUND(K12/F12,2)</f>
        <v/>
      </c>
    </row>
    <row r="13">
      <c r="A13" s="10" t="inlineStr">
        <is>
          <t>Month 10</t>
        </is>
      </c>
      <c r="B13" s="10" t="n">
        <v>138000</v>
      </c>
      <c r="C13" s="22" t="n">
        <v>0.048</v>
      </c>
      <c r="D13" s="14">
        <f>ROUND(B13*C13,0)</f>
        <v/>
      </c>
      <c r="E13" s="22" t="n">
        <v>0.52</v>
      </c>
      <c r="F13" s="14">
        <f>ROUND(D13*E13,0)</f>
        <v/>
      </c>
      <c r="G13" s="14">
        <f>ROUND(G12*0.98+F13,0)</f>
        <v/>
      </c>
      <c r="H13" s="14">
        <f>ROUND(F13*0.055,0)</f>
        <v/>
      </c>
      <c r="I13" s="13">
        <f>ROUND(H13*34.00,2)</f>
        <v/>
      </c>
      <c r="J13" s="12" t="n">
        <v>7900</v>
      </c>
      <c r="K13" s="13">
        <f>I13+J13</f>
        <v/>
      </c>
      <c r="L13" s="13">
        <f>ROUND(K13/F13,2)</f>
        <v/>
      </c>
    </row>
    <row r="14">
      <c r="A14" s="5" t="inlineStr">
        <is>
          <t>Month 11</t>
        </is>
      </c>
      <c r="B14" s="5" t="n">
        <v>155000</v>
      </c>
      <c r="C14" s="21" t="n">
        <v>0.049</v>
      </c>
      <c r="D14" s="9">
        <f>ROUND(B14*C14,0)</f>
        <v/>
      </c>
      <c r="E14" s="21" t="n">
        <v>0.52</v>
      </c>
      <c r="F14" s="9">
        <f>ROUND(D14*E14,0)</f>
        <v/>
      </c>
      <c r="G14" s="9">
        <f>ROUND(G13*0.98+F14,0)</f>
        <v/>
      </c>
      <c r="H14" s="9">
        <f>ROUND(F14*0.055,0)</f>
        <v/>
      </c>
      <c r="I14" s="8">
        <f>ROUND(H14*34.00,2)</f>
        <v/>
      </c>
      <c r="J14" s="7" t="n">
        <v>9100</v>
      </c>
      <c r="K14" s="8">
        <f>I14+J14</f>
        <v/>
      </c>
      <c r="L14" s="8">
        <f>ROUND(K14/F14,2)</f>
        <v/>
      </c>
    </row>
    <row r="15">
      <c r="A15" s="10" t="inlineStr">
        <is>
          <t>Month 12</t>
        </is>
      </c>
      <c r="B15" s="10" t="n">
        <v>175000</v>
      </c>
      <c r="C15" s="22" t="n">
        <v>0.05</v>
      </c>
      <c r="D15" s="14">
        <f>ROUND(B15*C15,0)</f>
        <v/>
      </c>
      <c r="E15" s="22" t="n">
        <v>0.53</v>
      </c>
      <c r="F15" s="14">
        <f>ROUND(D15*E15,0)</f>
        <v/>
      </c>
      <c r="G15" s="14">
        <f>ROUND(G14*0.98+F15,0)</f>
        <v/>
      </c>
      <c r="H15" s="14">
        <f>ROUND(F15*0.055,0)</f>
        <v/>
      </c>
      <c r="I15" s="13">
        <f>ROUND(H15*34.00,2)</f>
        <v/>
      </c>
      <c r="J15" s="12" t="n">
        <v>10600</v>
      </c>
      <c r="K15" s="13">
        <f>I15+J15</f>
        <v/>
      </c>
      <c r="L15" s="13">
        <f>ROUND(K15/F15,2)</f>
        <v/>
      </c>
    </row>
    <row r="16">
      <c r="A16" s="5" t="inlineStr">
        <is>
          <t>Month 13</t>
        </is>
      </c>
      <c r="B16" s="5" t="n">
        <v>192000</v>
      </c>
      <c r="C16" s="21" t="n">
        <v>0.051</v>
      </c>
      <c r="D16" s="9">
        <f>ROUND(B16*C16,0)</f>
        <v/>
      </c>
      <c r="E16" s="21" t="n">
        <v>0.53</v>
      </c>
      <c r="F16" s="9">
        <f>ROUND(D16*E16,0)</f>
        <v/>
      </c>
      <c r="G16" s="9">
        <f>ROUND(G15*0.98+F16,0)</f>
        <v/>
      </c>
      <c r="H16" s="9">
        <f>ROUND(F16*0.055,0)</f>
        <v/>
      </c>
      <c r="I16" s="8">
        <f>ROUND(H16*34.00,2)</f>
        <v/>
      </c>
      <c r="J16" s="7" t="n">
        <v>11800</v>
      </c>
      <c r="K16" s="8">
        <f>I16+J16</f>
        <v/>
      </c>
      <c r="L16" s="8">
        <f>ROUND(K16/F16,2)</f>
        <v/>
      </c>
    </row>
    <row r="17">
      <c r="A17" s="10" t="inlineStr">
        <is>
          <t>Month 14</t>
        </is>
      </c>
      <c r="B17" s="10" t="n">
        <v>210000</v>
      </c>
      <c r="C17" s="22" t="n">
        <v>0.052</v>
      </c>
      <c r="D17" s="14">
        <f>ROUND(B17*C17,0)</f>
        <v/>
      </c>
      <c r="E17" s="22" t="n">
        <v>0.54</v>
      </c>
      <c r="F17" s="14">
        <f>ROUND(D17*E17,0)</f>
        <v/>
      </c>
      <c r="G17" s="14">
        <f>ROUND(G16*0.98+F17,0)</f>
        <v/>
      </c>
      <c r="H17" s="14">
        <f>ROUND(F17*0.055,0)</f>
        <v/>
      </c>
      <c r="I17" s="13">
        <f>ROUND(H17*34.00,2)</f>
        <v/>
      </c>
      <c r="J17" s="12" t="n">
        <v>13200</v>
      </c>
      <c r="K17" s="13">
        <f>I17+J17</f>
        <v/>
      </c>
      <c r="L17" s="13">
        <f>ROUND(K17/F17,2)</f>
        <v/>
      </c>
    </row>
    <row r="18">
      <c r="A18" s="5" t="inlineStr">
        <is>
          <t>Month 15</t>
        </is>
      </c>
      <c r="B18" s="5" t="n">
        <v>230000</v>
      </c>
      <c r="C18" s="21" t="n">
        <v>0.052</v>
      </c>
      <c r="D18" s="9">
        <f>ROUND(B18*C18,0)</f>
        <v/>
      </c>
      <c r="E18" s="21" t="n">
        <v>0.54</v>
      </c>
      <c r="F18" s="9">
        <f>ROUND(D18*E18,0)</f>
        <v/>
      </c>
      <c r="G18" s="9">
        <f>ROUND(G17*0.98+F18,0)</f>
        <v/>
      </c>
      <c r="H18" s="9">
        <f>ROUND(F18*0.055,0)</f>
        <v/>
      </c>
      <c r="I18" s="8">
        <f>ROUND(H18*34.00,2)</f>
        <v/>
      </c>
      <c r="J18" s="7" t="n">
        <v>14800</v>
      </c>
      <c r="K18" s="8">
        <f>I18+J18</f>
        <v/>
      </c>
      <c r="L18" s="8">
        <f>ROUND(K18/F18,2)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6" customWidth="1" min="9" max="9"/>
    <col width="16" customWidth="1" min="10" max="10"/>
    <col width="18" customWidth="1" min="11" max="11"/>
    <col width="20" customWidth="1" min="12" max="12"/>
    <col width="22" customWidth="1" min="13" max="13"/>
    <col width="14" customWidth="1" min="14" max="14"/>
    <col width="18" customWidth="1" min="15" max="15"/>
  </cols>
  <sheetData>
    <row r="1" ht="26" customHeight="1">
      <c r="A1" s="1" t="inlineStr">
        <is>
          <t>TAB 06 · 4-TIER SOLOPRENEUR VALUE LADDER &amp; CHECKOUT MULTIPLIER CALCULATOR (CHAPTER 09)</t>
        </is>
      </c>
    </row>
    <row r="2" ht="20" customHeight="1">
      <c r="A2" s="2" t="inlineStr">
        <is>
          <t>Formula: Effective_AOV = P_base + (P_bump * TR_bump) + (P_upsell * TR_upsell)  |  Validation Gate &gt;= 15 Orders</t>
        </is>
      </c>
    </row>
    <row r="3" ht="24" customHeight="1">
      <c r="A3" s="3" t="inlineStr">
        <is>
          <t>Scenario_ID</t>
        </is>
      </c>
      <c r="B3" s="3" t="inlineStr">
        <is>
          <t>Product_Tier_Offer_Name</t>
        </is>
      </c>
      <c r="C3" s="4" t="inlineStr">
        <is>
          <t>Checkout_Visitors</t>
        </is>
      </c>
      <c r="D3" s="4" t="inlineStr">
        <is>
          <t>Base_CVR_Pct</t>
        </is>
      </c>
      <c r="E3" s="4" t="inlineStr">
        <is>
          <t>Base_Orders</t>
        </is>
      </c>
      <c r="F3" s="4" t="inlineStr">
        <is>
          <t>Base_Price_USD</t>
        </is>
      </c>
      <c r="G3" s="4" t="inlineStr">
        <is>
          <t>Bump_Price_USD</t>
        </is>
      </c>
      <c r="H3" s="4" t="inlineStr">
        <is>
          <t>Bump_Take_Rate</t>
        </is>
      </c>
      <c r="I3" s="4" t="inlineStr">
        <is>
          <t>Upsell_Price_USD</t>
        </is>
      </c>
      <c r="J3" s="4" t="inlineStr">
        <is>
          <t>Upsell_Take_Rate</t>
        </is>
      </c>
      <c r="K3" s="4" t="inlineStr">
        <is>
          <t>Effective_AOV_USD</t>
        </is>
      </c>
      <c r="L3" s="4" t="inlineStr">
        <is>
          <t>Gross_Launch_Rev_USD</t>
        </is>
      </c>
      <c r="M3" s="4" t="inlineStr">
        <is>
          <t>Net_Profit_After_Fees_USD</t>
        </is>
      </c>
      <c r="N3" s="4" t="inlineStr">
        <is>
          <t>Launch_Hours</t>
        </is>
      </c>
      <c r="O3" s="4" t="inlineStr">
        <is>
          <t>Launch_RPPH_USD</t>
        </is>
      </c>
    </row>
    <row r="4">
      <c r="A4" s="5" t="inlineStr">
        <is>
          <t>LCH-01</t>
        </is>
      </c>
      <c r="B4" s="5" t="inlineStr">
        <is>
          <t>Tier 1 · Reader Book + Prompt Swipe</t>
        </is>
      </c>
      <c r="C4" s="5" t="n">
        <v>650</v>
      </c>
      <c r="D4" s="21" t="n">
        <v>0.065</v>
      </c>
      <c r="E4" s="9">
        <f>ROUND(C4*D4,0)</f>
        <v/>
      </c>
      <c r="F4" s="7" t="n">
        <v>9.99</v>
      </c>
      <c r="G4" s="7" t="n">
        <v>9</v>
      </c>
      <c r="H4" s="21" t="n">
        <v>0.42</v>
      </c>
      <c r="I4" s="7" t="n">
        <v>24</v>
      </c>
      <c r="J4" s="21" t="n">
        <v>0.22</v>
      </c>
      <c r="K4" s="8">
        <f>ROUND(F4+(G4*H4)+(I4*J4),2)</f>
        <v/>
      </c>
      <c r="L4" s="8">
        <f>ROUND(E4*K4,2)</f>
        <v/>
      </c>
      <c r="M4" s="8">
        <f>ROUND(L4*0.94,2)</f>
        <v/>
      </c>
      <c r="N4" s="5" t="n">
        <v>4</v>
      </c>
      <c r="O4" s="8">
        <f>ROUND(M4/N4,2)</f>
        <v/>
      </c>
    </row>
    <row r="5">
      <c r="A5" s="10" t="inlineStr">
        <is>
          <t>LCH-02</t>
        </is>
      </c>
      <c r="B5" s="10" t="inlineStr">
        <is>
          <t>Tier 2 · Implementation Workbook Pack</t>
        </is>
      </c>
      <c r="C5" s="10" t="n">
        <v>720</v>
      </c>
      <c r="D5" s="22" t="n">
        <v>0.062</v>
      </c>
      <c r="E5" s="14">
        <f>ROUND(C5*D5,0)</f>
        <v/>
      </c>
      <c r="F5" s="12" t="n">
        <v>24</v>
      </c>
      <c r="G5" s="12" t="n">
        <v>14</v>
      </c>
      <c r="H5" s="22" t="n">
        <v>0.38</v>
      </c>
      <c r="I5" s="12" t="n">
        <v>49</v>
      </c>
      <c r="J5" s="22" t="n">
        <v>0.18</v>
      </c>
      <c r="K5" s="13">
        <f>ROUND(F5+(G5*H5)+(I5*J5),2)</f>
        <v/>
      </c>
      <c r="L5" s="13">
        <f>ROUND(E5*K5,2)</f>
        <v/>
      </c>
      <c r="M5" s="13">
        <f>ROUND(L5*0.94,2)</f>
        <v/>
      </c>
      <c r="N5" s="10" t="n">
        <v>6</v>
      </c>
      <c r="O5" s="13">
        <f>ROUND(M5/N5,2)</f>
        <v/>
      </c>
    </row>
    <row r="6">
      <c r="A6" s="5" t="inlineStr">
        <is>
          <t>LCH-03</t>
        </is>
      </c>
      <c r="B6" s="5" t="inlineStr">
        <is>
          <t>Tier 3 · Complete Creator OS (Founding)</t>
        </is>
      </c>
      <c r="C6" s="5" t="n">
        <v>850</v>
      </c>
      <c r="D6" s="21" t="n">
        <v>0.058</v>
      </c>
      <c r="E6" s="9">
        <f>ROUND(C6*D6,0)</f>
        <v/>
      </c>
      <c r="F6" s="7" t="n">
        <v>49</v>
      </c>
      <c r="G6" s="7" t="n">
        <v>19</v>
      </c>
      <c r="H6" s="21" t="n">
        <v>0.38</v>
      </c>
      <c r="I6" s="7" t="n">
        <v>79</v>
      </c>
      <c r="J6" s="21" t="n">
        <v>0.16</v>
      </c>
      <c r="K6" s="8">
        <f>ROUND(F6+(G6*H6)+(I6*J6),2)</f>
        <v/>
      </c>
      <c r="L6" s="8">
        <f>ROUND(E6*K6,2)</f>
        <v/>
      </c>
      <c r="M6" s="8">
        <f>ROUND(L6*0.94,2)</f>
        <v/>
      </c>
      <c r="N6" s="5" t="n">
        <v>12</v>
      </c>
      <c r="O6" s="8">
        <f>ROUND(M6/N6,2)</f>
        <v/>
      </c>
    </row>
    <row r="7">
      <c r="A7" s="10" t="inlineStr">
        <is>
          <t>LCH-04</t>
        </is>
      </c>
      <c r="B7" s="10" t="inlineStr">
        <is>
          <t>Tier 3 · Complete Creator OS (Evergreen)</t>
        </is>
      </c>
      <c r="C7" s="10" t="n">
        <v>1100</v>
      </c>
      <c r="D7" s="22" t="n">
        <v>0.052</v>
      </c>
      <c r="E7" s="14">
        <f>ROUND(C7*D7,0)</f>
        <v/>
      </c>
      <c r="F7" s="12" t="n">
        <v>69</v>
      </c>
      <c r="G7" s="12" t="n">
        <v>24</v>
      </c>
      <c r="H7" s="22" t="n">
        <v>0.36</v>
      </c>
      <c r="I7" s="12" t="n">
        <v>99</v>
      </c>
      <c r="J7" s="22" t="n">
        <v>0.15</v>
      </c>
      <c r="K7" s="13">
        <f>ROUND(F7+(G7*H7)+(I7*J7),2)</f>
        <v/>
      </c>
      <c r="L7" s="13">
        <f>ROUND(E7*K7,2)</f>
        <v/>
      </c>
      <c r="M7" s="13">
        <f>ROUND(L7*0.94,2)</f>
        <v/>
      </c>
      <c r="N7" s="10" t="n">
        <v>12</v>
      </c>
      <c r="O7" s="13">
        <f>ROUND(M7/N7,2)</f>
        <v/>
      </c>
    </row>
    <row r="8">
      <c r="A8" s="5" t="inlineStr">
        <is>
          <t>LCH-05</t>
        </is>
      </c>
      <c r="B8" s="5" t="inlineStr">
        <is>
          <t>Tier 4 · Pro Agency &amp; Living Vault</t>
        </is>
      </c>
      <c r="C8" s="5" t="n">
        <v>540</v>
      </c>
      <c r="D8" s="21" t="n">
        <v>0.042</v>
      </c>
      <c r="E8" s="9">
        <f>ROUND(C8*D8,0)</f>
        <v/>
      </c>
      <c r="F8" s="7" t="n">
        <v>149</v>
      </c>
      <c r="G8" s="7" t="n">
        <v>39</v>
      </c>
      <c r="H8" s="21" t="n">
        <v>0.34</v>
      </c>
      <c r="I8" s="7" t="n">
        <v>199</v>
      </c>
      <c r="J8" s="21" t="n">
        <v>0.14</v>
      </c>
      <c r="K8" s="8">
        <f>ROUND(F8+(G8*H8)+(I8*J8),2)</f>
        <v/>
      </c>
      <c r="L8" s="8">
        <f>ROUND(E8*K8,2)</f>
        <v/>
      </c>
      <c r="M8" s="8">
        <f>ROUND(L8*0.94,2)</f>
        <v/>
      </c>
      <c r="N8" s="5" t="n">
        <v>14</v>
      </c>
      <c r="O8" s="8">
        <f>ROUND(M8/N8,2)</f>
        <v/>
      </c>
    </row>
    <row r="9">
      <c r="A9" s="10" t="inlineStr">
        <is>
          <t>LCH-06</t>
        </is>
      </c>
      <c r="B9" s="10" t="inlineStr">
        <is>
          <t>Quarterly Bundle Flash Promotion</t>
        </is>
      </c>
      <c r="C9" s="10" t="n">
        <v>1400</v>
      </c>
      <c r="D9" s="22" t="n">
        <v>0.06</v>
      </c>
      <c r="E9" s="14">
        <f>ROUND(C9*D9,0)</f>
        <v/>
      </c>
      <c r="F9" s="12" t="n">
        <v>59</v>
      </c>
      <c r="G9" s="12" t="n">
        <v>19</v>
      </c>
      <c r="H9" s="22" t="n">
        <v>0.4</v>
      </c>
      <c r="I9" s="12" t="n">
        <v>89</v>
      </c>
      <c r="J9" s="22" t="n">
        <v>0.17</v>
      </c>
      <c r="K9" s="13">
        <f>ROUND(F9+(G9*H9)+(I9*J9),2)</f>
        <v/>
      </c>
      <c r="L9" s="13">
        <f>ROUND(E9*K9,2)</f>
        <v/>
      </c>
      <c r="M9" s="13">
        <f>ROUND(L9*0.94,2)</f>
        <v/>
      </c>
      <c r="N9" s="10" t="n">
        <v>8</v>
      </c>
      <c r="O9" s="13">
        <f>ROUND(M9/N9,2)</f>
        <v/>
      </c>
    </row>
    <row r="10">
      <c r="A10" s="5" t="inlineStr">
        <is>
          <t>LCH-07</t>
        </is>
      </c>
      <c r="B10" s="5" t="inlineStr">
        <is>
          <t>Black Friday Complete Studio Stack</t>
        </is>
      </c>
      <c r="C10" s="5" t="n">
        <v>2200</v>
      </c>
      <c r="D10" s="21" t="n">
        <v>0.068</v>
      </c>
      <c r="E10" s="9">
        <f>ROUND(C10*D10,0)</f>
        <v/>
      </c>
      <c r="F10" s="7" t="n">
        <v>79</v>
      </c>
      <c r="G10" s="7" t="n">
        <v>27</v>
      </c>
      <c r="H10" s="21" t="n">
        <v>0.44</v>
      </c>
      <c r="I10" s="7" t="n">
        <v>129</v>
      </c>
      <c r="J10" s="21" t="n">
        <v>0.19</v>
      </c>
      <c r="K10" s="8">
        <f>ROUND(F10+(G10*H10)+(I10*J10),2)</f>
        <v/>
      </c>
      <c r="L10" s="8">
        <f>ROUND(E10*K10,2)</f>
        <v/>
      </c>
      <c r="M10" s="8">
        <f>ROUND(L10*0.94,2)</f>
        <v/>
      </c>
      <c r="N10" s="5" t="n">
        <v>10</v>
      </c>
      <c r="O10" s="8">
        <f>ROUND(M10/N10,2)</f>
        <v/>
      </c>
    </row>
    <row r="11">
      <c r="A11" s="10" t="inlineStr">
        <is>
          <t>LCH-08</t>
        </is>
      </c>
      <c r="B11" s="10" t="inlineStr">
        <is>
          <t>B2B Team License (5-Seat Pack)</t>
        </is>
      </c>
      <c r="C11" s="10" t="n">
        <v>380</v>
      </c>
      <c r="D11" s="22" t="n">
        <v>0.048</v>
      </c>
      <c r="E11" s="14">
        <f>ROUND(C11*D11,0)</f>
        <v/>
      </c>
      <c r="F11" s="12" t="n">
        <v>249</v>
      </c>
      <c r="G11" s="12" t="n">
        <v>49</v>
      </c>
      <c r="H11" s="22" t="n">
        <v>0.35</v>
      </c>
      <c r="I11" s="12" t="n">
        <v>299</v>
      </c>
      <c r="J11" s="22" t="n">
        <v>0.15</v>
      </c>
      <c r="K11" s="13">
        <f>ROUND(F11+(G11*H11)+(I11*J11),2)</f>
        <v/>
      </c>
      <c r="L11" s="13">
        <f>ROUND(E11*K11,2)</f>
        <v/>
      </c>
      <c r="M11" s="13">
        <f>ROUND(L11*0.94,2)</f>
        <v/>
      </c>
      <c r="N11" s="10" t="n">
        <v>10</v>
      </c>
      <c r="O11" s="13">
        <f>ROUND(M11/N11,2)</f>
        <v/>
      </c>
    </row>
    <row r="12">
      <c r="A12" s="5" t="inlineStr">
        <is>
          <t>LCH-09</t>
        </is>
      </c>
      <c r="B12" s="5" t="inlineStr">
        <is>
          <t>S.I.G.N.A.L. Outlier Workshop + Kit</t>
        </is>
      </c>
      <c r="C12" s="5" t="n">
        <v>620</v>
      </c>
      <c r="D12" s="21" t="n">
        <v>0.055</v>
      </c>
      <c r="E12" s="9">
        <f>ROUND(C12*D12,0)</f>
        <v/>
      </c>
      <c r="F12" s="7" t="n">
        <v>39</v>
      </c>
      <c r="G12" s="7" t="n">
        <v>15</v>
      </c>
      <c r="H12" s="21" t="n">
        <v>0.39</v>
      </c>
      <c r="I12" s="7" t="n">
        <v>69</v>
      </c>
      <c r="J12" s="21" t="n">
        <v>0.16</v>
      </c>
      <c r="K12" s="8">
        <f>ROUND(F12+(G12*H12)+(I12*J12),2)</f>
        <v/>
      </c>
      <c r="L12" s="8">
        <f>ROUND(E12*K12,2)</f>
        <v/>
      </c>
      <c r="M12" s="8">
        <f>ROUND(L12*0.94,2)</f>
        <v/>
      </c>
      <c r="N12" s="5" t="n">
        <v>7</v>
      </c>
      <c r="O12" s="8">
        <f>ROUND(M12/N12,2)</f>
        <v/>
      </c>
    </row>
    <row r="13">
      <c r="A13" s="10" t="inlineStr">
        <is>
          <t>LCH-10</t>
        </is>
      </c>
      <c r="B13" s="10" t="inlineStr">
        <is>
          <t>Automation Blueprints Standalone Pack</t>
        </is>
      </c>
      <c r="C13" s="10" t="n">
        <v>780</v>
      </c>
      <c r="D13" s="22" t="n">
        <v>0.056</v>
      </c>
      <c r="E13" s="14">
        <f>ROUND(C13*D13,0)</f>
        <v/>
      </c>
      <c r="F13" s="12" t="n">
        <v>29</v>
      </c>
      <c r="G13" s="12" t="n">
        <v>12</v>
      </c>
      <c r="H13" s="22" t="n">
        <v>0.41</v>
      </c>
      <c r="I13" s="12" t="n">
        <v>49</v>
      </c>
      <c r="J13" s="22" t="n">
        <v>0.18</v>
      </c>
      <c r="K13" s="13">
        <f>ROUND(F13+(G13*H13)+(I13*J13),2)</f>
        <v/>
      </c>
      <c r="L13" s="13">
        <f>ROUND(E13*K13,2)</f>
        <v/>
      </c>
      <c r="M13" s="13">
        <f>ROUND(L13*0.94,2)</f>
        <v/>
      </c>
      <c r="N13" s="10" t="n">
        <v>6</v>
      </c>
      <c r="O13" s="13">
        <f>ROUND(M13/N13,2)</f>
        <v/>
      </c>
    </row>
    <row r="14">
      <c r="A14" s="5" t="inlineStr">
        <is>
          <t>LCH-11</t>
        </is>
      </c>
      <c r="B14" s="5" t="inlineStr">
        <is>
          <t>Sponsorship Rate Card &amp; Contract Kit</t>
        </is>
      </c>
      <c r="C14" s="5" t="n">
        <v>590</v>
      </c>
      <c r="D14" s="21" t="n">
        <v>0.054</v>
      </c>
      <c r="E14" s="9">
        <f>ROUND(C14*D14,0)</f>
        <v/>
      </c>
      <c r="F14" s="7" t="n">
        <v>34</v>
      </c>
      <c r="G14" s="7" t="n">
        <v>15</v>
      </c>
      <c r="H14" s="21" t="n">
        <v>0.37</v>
      </c>
      <c r="I14" s="7" t="n">
        <v>59</v>
      </c>
      <c r="J14" s="21" t="n">
        <v>0.17</v>
      </c>
      <c r="K14" s="8">
        <f>ROUND(F14+(G14*H14)+(I14*J14),2)</f>
        <v/>
      </c>
      <c r="L14" s="8">
        <f>ROUND(E14*K14,2)</f>
        <v/>
      </c>
      <c r="M14" s="8">
        <f>ROUND(L14*0.94,2)</f>
        <v/>
      </c>
      <c r="N14" s="5" t="n">
        <v>5</v>
      </c>
      <c r="O14" s="8">
        <f>ROUND(M14/N14,2)</f>
        <v/>
      </c>
    </row>
    <row r="15">
      <c r="A15" s="10" t="inlineStr">
        <is>
          <t>LCH-12</t>
        </is>
      </c>
      <c r="B15" s="10" t="inlineStr">
        <is>
          <t>New Year Creator CEO Sprint Bundle</t>
        </is>
      </c>
      <c r="C15" s="10" t="n">
        <v>1650</v>
      </c>
      <c r="D15" s="22" t="n">
        <v>0.061</v>
      </c>
      <c r="E15" s="14">
        <f>ROUND(C15*D15,0)</f>
        <v/>
      </c>
      <c r="F15" s="12" t="n">
        <v>64</v>
      </c>
      <c r="G15" s="12" t="n">
        <v>22</v>
      </c>
      <c r="H15" s="22" t="n">
        <v>0.4</v>
      </c>
      <c r="I15" s="12" t="n">
        <v>97</v>
      </c>
      <c r="J15" s="22" t="n">
        <v>0.18</v>
      </c>
      <c r="K15" s="13">
        <f>ROUND(F15+(G15*H15)+(I15*J15),2)</f>
        <v/>
      </c>
      <c r="L15" s="13">
        <f>ROUND(E15*K15,2)</f>
        <v/>
      </c>
      <c r="M15" s="13">
        <f>ROUND(L15*0.94,2)</f>
        <v/>
      </c>
      <c r="N15" s="10" t="n">
        <v>9</v>
      </c>
      <c r="O15" s="13">
        <f>ROUND(M15/N15,2)</f>
        <v/>
      </c>
    </row>
    <row r="16">
      <c r="A16" s="5" t="inlineStr">
        <is>
          <t>LCH-13</t>
        </is>
      </c>
      <c r="B16" s="5" t="inlineStr">
        <is>
          <t>Affiliate Partner Co-Hosted Drop</t>
        </is>
      </c>
      <c r="C16" s="5" t="n">
        <v>920</v>
      </c>
      <c r="D16" s="21" t="n">
        <v>0.053</v>
      </c>
      <c r="E16" s="9">
        <f>ROUND(C16*D16,0)</f>
        <v/>
      </c>
      <c r="F16" s="7" t="n">
        <v>49</v>
      </c>
      <c r="G16" s="7" t="n">
        <v>19</v>
      </c>
      <c r="H16" s="21" t="n">
        <v>0.36</v>
      </c>
      <c r="I16" s="7" t="n">
        <v>79</v>
      </c>
      <c r="J16" s="21" t="n">
        <v>0.15</v>
      </c>
      <c r="K16" s="8">
        <f>ROUND(F16+(G16*H16)+(I16*J16),2)</f>
        <v/>
      </c>
      <c r="L16" s="8">
        <f>ROUND(E16*K16,2)</f>
        <v/>
      </c>
      <c r="M16" s="8">
        <f>ROUND(L16*0.94,2)</f>
        <v/>
      </c>
      <c r="N16" s="5" t="n">
        <v>8</v>
      </c>
      <c r="O16" s="8">
        <f>ROUND(M16/N16,2)</f>
        <v/>
      </c>
    </row>
    <row r="17">
      <c r="A17" s="10" t="inlineStr">
        <is>
          <t>LCH-14</t>
        </is>
      </c>
      <c r="B17" s="10" t="inlineStr">
        <is>
          <t>Bangladesh Local Rail Launch (bKash)</t>
        </is>
      </c>
      <c r="C17" s="10" t="n">
        <v>880</v>
      </c>
      <c r="D17" s="22" t="n">
        <v>0.064</v>
      </c>
      <c r="E17" s="14">
        <f>ROUND(C17*D17,0)</f>
        <v/>
      </c>
      <c r="F17" s="12" t="n">
        <v>29</v>
      </c>
      <c r="G17" s="12" t="n">
        <v>9</v>
      </c>
      <c r="H17" s="22" t="n">
        <v>0.42</v>
      </c>
      <c r="I17" s="12" t="n">
        <v>49</v>
      </c>
      <c r="J17" s="22" t="n">
        <v>0.16</v>
      </c>
      <c r="K17" s="13">
        <f>ROUND(F17+(G17*H17)+(I17*J17),2)</f>
        <v/>
      </c>
      <c r="L17" s="13">
        <f>ROUND(E17*K17,2)</f>
        <v/>
      </c>
      <c r="M17" s="13">
        <f>ROUND(L17*0.94,2)</f>
        <v/>
      </c>
      <c r="N17" s="10" t="n">
        <v>6</v>
      </c>
      <c r="O17" s="13">
        <f>ROUND(M17/N17,2)</f>
        <v/>
      </c>
    </row>
    <row r="18">
      <c r="A18" s="5" t="inlineStr">
        <is>
          <t>LCH-15</t>
        </is>
      </c>
      <c r="B18" s="5" t="inlineStr">
        <is>
          <t>Annual Vault Renewal Cohort</t>
        </is>
      </c>
      <c r="C18" s="5" t="n">
        <v>450</v>
      </c>
      <c r="D18" s="21" t="n">
        <v>0.68</v>
      </c>
      <c r="E18" s="9">
        <f>ROUND(C18*D18,0)</f>
        <v/>
      </c>
      <c r="F18" s="7" t="n">
        <v>49</v>
      </c>
      <c r="G18" s="7" t="n">
        <v>19</v>
      </c>
      <c r="H18" s="21" t="n">
        <v>0.3</v>
      </c>
      <c r="I18" s="7" t="n">
        <v>79</v>
      </c>
      <c r="J18" s="21" t="n">
        <v>0.12</v>
      </c>
      <c r="K18" s="8">
        <f>ROUND(F18+(G18*H18)+(I18*J18),2)</f>
        <v/>
      </c>
      <c r="L18" s="8">
        <f>ROUND(E18*K18,2)</f>
        <v/>
      </c>
      <c r="M18" s="8">
        <f>ROUND(L18*0.94,2)</f>
        <v/>
      </c>
      <c r="N18" s="5" t="n">
        <v>4</v>
      </c>
      <c r="O18" s="8">
        <f>ROUND(M18/N18,2)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20" customWidth="1" min="11" max="11"/>
    <col width="15" customWidth="1" min="12" max="12"/>
    <col width="22" customWidth="1" min="13" max="13"/>
  </cols>
  <sheetData>
    <row r="1" ht="26" customHeight="1">
      <c r="A1" s="1" t="inlineStr">
        <is>
          <t>TAB 07 · OUTCOME-BASED B2B SPONSORSHIP RATE CARD &amp; PIPELINE CRM (CHAPTER 10)</t>
        </is>
      </c>
    </row>
    <row r="2" ht="20" customHeight="1">
      <c r="A2" s="2" t="inlineStr">
        <is>
          <t>Formula: Total_Contract = (Base * Mult) + Newsletter + (Base * 0.30 * Whitelist_Mos) + Exclusivity</t>
        </is>
      </c>
    </row>
    <row r="3" ht="24" customHeight="1">
      <c r="A3" s="3" t="inlineStr">
        <is>
          <t>Sponsor_ID</t>
        </is>
      </c>
      <c r="B3" s="3" t="inlineStr">
        <is>
          <t>Partner_Brand_Name</t>
        </is>
      </c>
      <c r="C3" s="4" t="inlineStr">
        <is>
          <t>B2B_Category</t>
        </is>
      </c>
      <c r="D3" s="4" t="inlineStr">
        <is>
          <t>Package_Tier</t>
        </is>
      </c>
      <c r="E3" s="4" t="inlineStr">
        <is>
          <t>Base_Placement_USD</t>
        </is>
      </c>
      <c r="F3" s="4" t="inlineStr">
        <is>
          <t>Niche_Authority_Mult</t>
        </is>
      </c>
      <c r="G3" s="4" t="inlineStr">
        <is>
          <t>Newsletter_AddOn_USD</t>
        </is>
      </c>
      <c r="H3" s="4" t="inlineStr">
        <is>
          <t>Whitelisting_Months</t>
        </is>
      </c>
      <c r="I3" s="4" t="inlineStr">
        <is>
          <t>Whitelisting_Fee_USD</t>
        </is>
      </c>
      <c r="J3" s="4" t="inlineStr">
        <is>
          <t>Exclusivity_Fee_USD</t>
        </is>
      </c>
      <c r="K3" s="4" t="inlineStr">
        <is>
          <t>Total_Contract_USD</t>
        </is>
      </c>
      <c r="L3" s="4" t="inlineStr">
        <is>
          <t>Close_Prob_Pct</t>
        </is>
      </c>
      <c r="M3" s="4" t="inlineStr">
        <is>
          <t>Weighted_Pipeline_USD</t>
        </is>
      </c>
    </row>
    <row r="4">
      <c r="A4" s="5" t="inlineStr">
        <is>
          <t>SPN-01</t>
        </is>
      </c>
      <c r="B4" s="5" t="inlineStr">
        <is>
          <t>VectorFlow AI</t>
        </is>
      </c>
      <c r="C4" s="5" t="inlineStr">
        <is>
          <t>AI Workflow SaaS</t>
        </is>
      </c>
      <c r="D4" s="5" t="inlineStr">
        <is>
          <t>Tier B Dominance</t>
        </is>
      </c>
      <c r="E4" s="7" t="n">
        <v>950</v>
      </c>
      <c r="F4" s="5" t="n">
        <v>2</v>
      </c>
      <c r="G4" s="7" t="n">
        <v>750</v>
      </c>
      <c r="H4" s="5" t="n">
        <v>1</v>
      </c>
      <c r="I4" s="8">
        <f>ROUND(E4*F4*0.30*H4,2)</f>
        <v/>
      </c>
      <c r="J4" s="7" t="n">
        <v>250</v>
      </c>
      <c r="K4" s="8">
        <f>ROUND((E4*F4)+G4+I4+J4,2)</f>
        <v/>
      </c>
      <c r="L4" s="23" t="n">
        <v>0.9</v>
      </c>
      <c r="M4" s="8">
        <f>ROUND(K4*L4,2)</f>
        <v/>
      </c>
    </row>
    <row r="5">
      <c r="A5" s="10" t="inlineStr">
        <is>
          <t>SPN-02</t>
        </is>
      </c>
      <c r="B5" s="10" t="inlineStr">
        <is>
          <t>MetricPulse Cloud</t>
        </is>
      </c>
      <c r="C5" s="10" t="inlineStr">
        <is>
          <t>B2B Analytics</t>
        </is>
      </c>
      <c r="D5" s="10" t="inlineStr">
        <is>
          <t>Tier C Quarterly</t>
        </is>
      </c>
      <c r="E5" s="12" t="n">
        <v>2400</v>
      </c>
      <c r="F5" s="10" t="n">
        <v>2</v>
      </c>
      <c r="G5" s="12" t="n">
        <v>1800</v>
      </c>
      <c r="H5" s="10" t="n">
        <v>3</v>
      </c>
      <c r="I5" s="13">
        <f>ROUND(E5*F5*0.30*H5,2)</f>
        <v/>
      </c>
      <c r="J5" s="12" t="n">
        <v>750</v>
      </c>
      <c r="K5" s="13">
        <f>ROUND((E5*F5)+G5+I5+J5,2)</f>
        <v/>
      </c>
      <c r="L5" s="24" t="n">
        <v>0.85</v>
      </c>
      <c r="M5" s="13">
        <f>ROUND(K5*L5,2)</f>
        <v/>
      </c>
    </row>
    <row r="6">
      <c r="A6" s="5" t="inlineStr">
        <is>
          <t>SPN-03</t>
        </is>
      </c>
      <c r="B6" s="5" t="inlineStr">
        <is>
          <t>InboxShield Pro</t>
        </is>
      </c>
      <c r="C6" s="5" t="inlineStr">
        <is>
          <t>Email Deliverability</t>
        </is>
      </c>
      <c r="D6" s="5" t="inlineStr">
        <is>
          <t>Tier A Validation</t>
        </is>
      </c>
      <c r="E6" s="7" t="n">
        <v>750</v>
      </c>
      <c r="F6" s="5" t="n">
        <v>2</v>
      </c>
      <c r="G6" s="7" t="n">
        <v>350</v>
      </c>
      <c r="H6" s="5" t="n">
        <v>0</v>
      </c>
      <c r="I6" s="8">
        <f>ROUND(E6*F6*0.30*H6,2)</f>
        <v/>
      </c>
      <c r="J6" s="7" t="n">
        <v>0</v>
      </c>
      <c r="K6" s="8">
        <f>ROUND((E6*F6)+G6+I6+J6,2)</f>
        <v/>
      </c>
      <c r="L6" s="23" t="n">
        <v>1</v>
      </c>
      <c r="M6" s="8">
        <f>ROUND(K6*L6,2)</f>
        <v/>
      </c>
    </row>
    <row r="7">
      <c r="A7" s="10" t="inlineStr">
        <is>
          <t>SPN-04</t>
        </is>
      </c>
      <c r="B7" s="10" t="inlineStr">
        <is>
          <t>ClipStudio Engine</t>
        </is>
      </c>
      <c r="C7" s="10" t="inlineStr">
        <is>
          <t>Video Editing AI</t>
        </is>
      </c>
      <c r="D7" s="10" t="inlineStr">
        <is>
          <t>Tier B Dominance</t>
        </is>
      </c>
      <c r="E7" s="12" t="n">
        <v>950</v>
      </c>
      <c r="F7" s="10" t="n">
        <v>2</v>
      </c>
      <c r="G7" s="12" t="n">
        <v>750</v>
      </c>
      <c r="H7" s="10" t="n">
        <v>2</v>
      </c>
      <c r="I7" s="13">
        <f>ROUND(E7*F7*0.30*H7,2)</f>
        <v/>
      </c>
      <c r="J7" s="12" t="n">
        <v>250</v>
      </c>
      <c r="K7" s="13">
        <f>ROUND((E7*F7)+G7+I7+J7,2)</f>
        <v/>
      </c>
      <c r="L7" s="24" t="n">
        <v>0.8</v>
      </c>
      <c r="M7" s="13">
        <f>ROUND(K7*L7,2)</f>
        <v/>
      </c>
    </row>
    <row r="8">
      <c r="A8" s="5" t="inlineStr">
        <is>
          <t>SPN-05</t>
        </is>
      </c>
      <c r="B8" s="5" t="inlineStr">
        <is>
          <t>FounderLedger</t>
        </is>
      </c>
      <c r="C8" s="5" t="inlineStr">
        <is>
          <t>Fintech &amp; Tax Ops</t>
        </is>
      </c>
      <c r="D8" s="5" t="inlineStr">
        <is>
          <t>Tier B Dominance</t>
        </is>
      </c>
      <c r="E8" s="7" t="n">
        <v>1000</v>
      </c>
      <c r="F8" s="5" t="n">
        <v>2.2</v>
      </c>
      <c r="G8" s="7" t="n">
        <v>800</v>
      </c>
      <c r="H8" s="5" t="n">
        <v>1</v>
      </c>
      <c r="I8" s="8">
        <f>ROUND(E8*F8*0.30*H8,2)</f>
        <v/>
      </c>
      <c r="J8" s="7" t="n">
        <v>300</v>
      </c>
      <c r="K8" s="8">
        <f>ROUND((E8*F8)+G8+I8+J8,2)</f>
        <v/>
      </c>
      <c r="L8" s="23" t="n">
        <v>0.75</v>
      </c>
      <c r="M8" s="8">
        <f>ROUND(K8*L8,2)</f>
        <v/>
      </c>
    </row>
    <row r="9">
      <c r="A9" s="10" t="inlineStr">
        <is>
          <t>SPN-06</t>
        </is>
      </c>
      <c r="B9" s="10" t="inlineStr">
        <is>
          <t>DeployFast Dev</t>
        </is>
      </c>
      <c r="C9" s="10" t="inlineStr">
        <is>
          <t>Cloud Infrastructure</t>
        </is>
      </c>
      <c r="D9" s="10" t="inlineStr">
        <is>
          <t>Tier C Quarterly</t>
        </is>
      </c>
      <c r="E9" s="12" t="n">
        <v>2600</v>
      </c>
      <c r="F9" s="10" t="n">
        <v>2.1</v>
      </c>
      <c r="G9" s="12" t="n">
        <v>1950</v>
      </c>
      <c r="H9" s="10" t="n">
        <v>3</v>
      </c>
      <c r="I9" s="13">
        <f>ROUND(E9*F9*0.30*H9,2)</f>
        <v/>
      </c>
      <c r="J9" s="12" t="n">
        <v>900</v>
      </c>
      <c r="K9" s="13">
        <f>ROUND((E9*F9)+G9+I9+J9,2)</f>
        <v/>
      </c>
      <c r="L9" s="24" t="n">
        <v>0.7</v>
      </c>
      <c r="M9" s="13">
        <f>ROUND(K9*L9,2)</f>
        <v/>
      </c>
    </row>
    <row r="10">
      <c r="A10" s="5" t="inlineStr">
        <is>
          <t>SPN-07</t>
        </is>
      </c>
      <c r="B10" s="5" t="inlineStr">
        <is>
          <t>NotionSync Pro</t>
        </is>
      </c>
      <c r="C10" s="5" t="inlineStr">
        <is>
          <t>Workspace Tooling</t>
        </is>
      </c>
      <c r="D10" s="5" t="inlineStr">
        <is>
          <t>Tier A Validation</t>
        </is>
      </c>
      <c r="E10" s="7" t="n">
        <v>750</v>
      </c>
      <c r="F10" s="5" t="n">
        <v>2</v>
      </c>
      <c r="G10" s="7" t="n">
        <v>350</v>
      </c>
      <c r="H10" s="5" t="n">
        <v>1</v>
      </c>
      <c r="I10" s="8">
        <f>ROUND(E10*F10*0.30*H10,2)</f>
        <v/>
      </c>
      <c r="J10" s="7" t="n">
        <v>0</v>
      </c>
      <c r="K10" s="8">
        <f>ROUND((E10*F10)+G10+I10+J10,2)</f>
        <v/>
      </c>
      <c r="L10" s="23" t="n">
        <v>1</v>
      </c>
      <c r="M10" s="8">
        <f>ROUND(K10*L10,2)</f>
        <v/>
      </c>
    </row>
    <row r="11">
      <c r="A11" s="10" t="inlineStr">
        <is>
          <t>SPN-08</t>
        </is>
      </c>
      <c r="B11" s="10" t="inlineStr">
        <is>
          <t>LeadMagnetIQ</t>
        </is>
      </c>
      <c r="C11" s="10" t="inlineStr">
        <is>
          <t>Conversion Software</t>
        </is>
      </c>
      <c r="D11" s="10" t="inlineStr">
        <is>
          <t>Tier B Dominance</t>
        </is>
      </c>
      <c r="E11" s="12" t="n">
        <v>900</v>
      </c>
      <c r="F11" s="10" t="n">
        <v>2</v>
      </c>
      <c r="G11" s="12" t="n">
        <v>700</v>
      </c>
      <c r="H11" s="10" t="n">
        <v>1</v>
      </c>
      <c r="I11" s="13">
        <f>ROUND(E11*F11*0.30*H11,2)</f>
        <v/>
      </c>
      <c r="J11" s="12" t="n">
        <v>250</v>
      </c>
      <c r="K11" s="13">
        <f>ROUND((E11*F11)+G11+I11+J11,2)</f>
        <v/>
      </c>
      <c r="L11" s="24" t="n">
        <v>0.85</v>
      </c>
      <c r="M11" s="13">
        <f>ROUND(K11*L11,2)</f>
        <v/>
      </c>
    </row>
    <row r="12">
      <c r="A12" s="5" t="inlineStr">
        <is>
          <t>SPN-09</t>
        </is>
      </c>
      <c r="B12" s="5" t="inlineStr">
        <is>
          <t>DocuGuard Legal</t>
        </is>
      </c>
      <c r="C12" s="5" t="inlineStr">
        <is>
          <t>Contract Automation</t>
        </is>
      </c>
      <c r="D12" s="5" t="inlineStr">
        <is>
          <t>Tier A Validation</t>
        </is>
      </c>
      <c r="E12" s="7" t="n">
        <v>800</v>
      </c>
      <c r="F12" s="5" t="n">
        <v>2</v>
      </c>
      <c r="G12" s="7" t="n">
        <v>400</v>
      </c>
      <c r="H12" s="5" t="n">
        <v>0</v>
      </c>
      <c r="I12" s="8">
        <f>ROUND(E12*F12*0.30*H12,2)</f>
        <v/>
      </c>
      <c r="J12" s="7" t="n">
        <v>150</v>
      </c>
      <c r="K12" s="8">
        <f>ROUND((E12*F12)+G12+I12+J12,2)</f>
        <v/>
      </c>
      <c r="L12" s="23" t="n">
        <v>0.9</v>
      </c>
      <c r="M12" s="8">
        <f>ROUND(K12*L12,2)</f>
        <v/>
      </c>
    </row>
    <row r="13">
      <c r="A13" s="10" t="inlineStr">
        <is>
          <t>SPN-10</t>
        </is>
      </c>
      <c r="B13" s="10" t="inlineStr">
        <is>
          <t>ScaleStack CRM</t>
        </is>
      </c>
      <c r="C13" s="10" t="inlineStr">
        <is>
          <t>B2B Sales Ops</t>
        </is>
      </c>
      <c r="D13" s="10" t="inlineStr">
        <is>
          <t>Tier C Quarterly</t>
        </is>
      </c>
      <c r="E13" s="12" t="n">
        <v>2500</v>
      </c>
      <c r="F13" s="10" t="n">
        <v>2.2</v>
      </c>
      <c r="G13" s="12" t="n">
        <v>1800</v>
      </c>
      <c r="H13" s="10" t="n">
        <v>3</v>
      </c>
      <c r="I13" s="13">
        <f>ROUND(E13*F13*0.30*H13,2)</f>
        <v/>
      </c>
      <c r="J13" s="12" t="n">
        <v>850</v>
      </c>
      <c r="K13" s="13">
        <f>ROUND((E13*F13)+G13+I13+J13,2)</f>
        <v/>
      </c>
      <c r="L13" s="24" t="n">
        <v>0.65</v>
      </c>
      <c r="M13" s="13">
        <f>ROUND(K13*L13,2)</f>
        <v/>
      </c>
    </row>
    <row r="14">
      <c r="A14" s="5" t="inlineStr">
        <is>
          <t>SPN-11</t>
        </is>
      </c>
      <c r="B14" s="5" t="inlineStr">
        <is>
          <t>AudioClean AI</t>
        </is>
      </c>
      <c r="C14" s="5" t="inlineStr">
        <is>
          <t>Creator Hardware/DSP</t>
        </is>
      </c>
      <c r="D14" s="5" t="inlineStr">
        <is>
          <t>Tier B Dominance</t>
        </is>
      </c>
      <c r="E14" s="7" t="n">
        <v>850</v>
      </c>
      <c r="F14" s="5" t="n">
        <v>1.9</v>
      </c>
      <c r="G14" s="7" t="n">
        <v>650</v>
      </c>
      <c r="H14" s="5" t="n">
        <v>1</v>
      </c>
      <c r="I14" s="8">
        <f>ROUND(E14*F14*0.30*H14,2)</f>
        <v/>
      </c>
      <c r="J14" s="7" t="n">
        <v>200</v>
      </c>
      <c r="K14" s="8">
        <f>ROUND((E14*F14)+G14+I14+J14,2)</f>
        <v/>
      </c>
      <c r="L14" s="23" t="n">
        <v>0.8</v>
      </c>
      <c r="M14" s="8">
        <f>ROUND(K14*L14,2)</f>
        <v/>
      </c>
    </row>
    <row r="15">
      <c r="A15" s="10" t="inlineStr">
        <is>
          <t>SPN-12</t>
        </is>
      </c>
      <c r="B15" s="10" t="inlineStr">
        <is>
          <t>PayRail Global</t>
        </is>
      </c>
      <c r="C15" s="10" t="inlineStr">
        <is>
          <t>Cross-Border Payouts</t>
        </is>
      </c>
      <c r="D15" s="10" t="inlineStr">
        <is>
          <t>Tier B Dominance</t>
        </is>
      </c>
      <c r="E15" s="12" t="n">
        <v>1050</v>
      </c>
      <c r="F15" s="10" t="n">
        <v>2.1</v>
      </c>
      <c r="G15" s="12" t="n">
        <v>800</v>
      </c>
      <c r="H15" s="10" t="n">
        <v>2</v>
      </c>
      <c r="I15" s="13">
        <f>ROUND(E15*F15*0.30*H15,2)</f>
        <v/>
      </c>
      <c r="J15" s="12" t="n">
        <v>300</v>
      </c>
      <c r="K15" s="13">
        <f>ROUND((E15*F15)+G15+I15+J15,2)</f>
        <v/>
      </c>
      <c r="L15" s="24" t="n">
        <v>0.75</v>
      </c>
      <c r="M15" s="13">
        <f>ROUND(K15*L15,2)</f>
        <v/>
      </c>
    </row>
    <row r="16">
      <c r="A16" s="5" t="inlineStr">
        <is>
          <t>SPN-13</t>
        </is>
      </c>
      <c r="B16" s="5" t="inlineStr">
        <is>
          <t>PromptOps Hub</t>
        </is>
      </c>
      <c r="C16" s="5" t="inlineStr">
        <is>
          <t>LLM Observability</t>
        </is>
      </c>
      <c r="D16" s="5" t="inlineStr">
        <is>
          <t>Tier A Validation</t>
        </is>
      </c>
      <c r="E16" s="7" t="n">
        <v>800</v>
      </c>
      <c r="F16" s="5" t="n">
        <v>2.1</v>
      </c>
      <c r="G16" s="7" t="n">
        <v>400</v>
      </c>
      <c r="H16" s="5" t="n">
        <v>1</v>
      </c>
      <c r="I16" s="8">
        <f>ROUND(E16*F16*0.30*H16,2)</f>
        <v/>
      </c>
      <c r="J16" s="7" t="n">
        <v>150</v>
      </c>
      <c r="K16" s="8">
        <f>ROUND((E16*F16)+G16+I16+J16,2)</f>
        <v/>
      </c>
      <c r="L16" s="23" t="n">
        <v>0.95</v>
      </c>
      <c r="M16" s="8">
        <f>ROUND(K16*L16,2)</f>
        <v/>
      </c>
    </row>
    <row r="17">
      <c r="A17" s="10" t="inlineStr">
        <is>
          <t>SPN-14</t>
        </is>
      </c>
      <c r="B17" s="10" t="inlineStr">
        <is>
          <t>CarouselCraft</t>
        </is>
      </c>
      <c r="C17" s="10" t="inlineStr">
        <is>
          <t>Design Automation</t>
        </is>
      </c>
      <c r="D17" s="10" t="inlineStr">
        <is>
          <t>Tier A Validation</t>
        </is>
      </c>
      <c r="E17" s="12" t="n">
        <v>700</v>
      </c>
      <c r="F17" s="10" t="n">
        <v>1.9</v>
      </c>
      <c r="G17" s="12" t="n">
        <v>350</v>
      </c>
      <c r="H17" s="10" t="n">
        <v>0</v>
      </c>
      <c r="I17" s="13">
        <f>ROUND(E17*F17*0.30*H17,2)</f>
        <v/>
      </c>
      <c r="J17" s="12" t="n">
        <v>0</v>
      </c>
      <c r="K17" s="13">
        <f>ROUND((E17*F17)+G17+I17+J17,2)</f>
        <v/>
      </c>
      <c r="L17" s="24" t="n">
        <v>1</v>
      </c>
      <c r="M17" s="13">
        <f>ROUND(K17*L17,2)</f>
        <v/>
      </c>
    </row>
    <row r="18">
      <c r="A18" s="5" t="inlineStr">
        <is>
          <t>SPN-15</t>
        </is>
      </c>
      <c r="B18" s="5" t="inlineStr">
        <is>
          <t>DataWarehouse Lite</t>
        </is>
      </c>
      <c r="C18" s="5" t="inlineStr">
        <is>
          <t>BI &amp; Reporting</t>
        </is>
      </c>
      <c r="D18" s="5" t="inlineStr">
        <is>
          <t>Tier B Dominance</t>
        </is>
      </c>
      <c r="E18" s="7" t="n">
        <v>980</v>
      </c>
      <c r="F18" s="5" t="n">
        <v>2</v>
      </c>
      <c r="G18" s="7" t="n">
        <v>750</v>
      </c>
      <c r="H18" s="5" t="n">
        <v>1</v>
      </c>
      <c r="I18" s="8">
        <f>ROUND(E18*F18*0.30*H18,2)</f>
        <v/>
      </c>
      <c r="J18" s="7" t="n">
        <v>250</v>
      </c>
      <c r="K18" s="8">
        <f>ROUND((E18*F18)+G18+I18+J18,2)</f>
        <v/>
      </c>
      <c r="L18" s="23" t="n">
        <v>0.7</v>
      </c>
      <c r="M18" s="8">
        <f>ROUND(K18*L18,2)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6" customWidth="1" min="4" max="4"/>
    <col width="22" customWidth="1" min="5" max="5"/>
    <col width="15" customWidth="1" min="6" max="6"/>
    <col width="22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</cols>
  <sheetData>
    <row r="1" ht="26" customHeight="1">
      <c r="A1" s="1" t="inlineStr">
        <is>
          <t>TAB 08 · 52-WEEK FRIDAY CREATOR CEO TELEMETRY &amp; RPPH COMMAND DASHBOARD (CHAPTER 10)</t>
        </is>
      </c>
    </row>
    <row r="2" ht="20" customHeight="1">
      <c r="A2" s="2" t="inlineStr">
        <is>
          <t>20-Minute Friday Review: Track Hours (&lt;=4.5h), Outlier M (&gt;=2.5x), ERI (&gt;=2.30), Opt-In (&gt;=45%), and Weekly RPPH (&gt;= $200/Hr)</t>
        </is>
      </c>
    </row>
    <row r="3" ht="24" customHeight="1">
      <c r="A3" s="3" t="inlineStr">
        <is>
          <t>Week_Code</t>
        </is>
      </c>
      <c r="B3" s="3" t="inlineStr">
        <is>
          <t>Batch_Hours</t>
        </is>
      </c>
      <c r="C3" s="4" t="inlineStr">
        <is>
          <t>Outlier_Multiplier_M</t>
        </is>
      </c>
      <c r="D3" s="4" t="inlineStr">
        <is>
          <t>Pillar_ERI_Score</t>
        </is>
      </c>
      <c r="E3" s="4" t="inlineStr">
        <is>
          <t>Waterfall_Assets_Published</t>
        </is>
      </c>
      <c r="F3" s="4" t="inlineStr">
        <is>
          <t>Opt_In_CVR_Pct</t>
        </is>
      </c>
      <c r="G3" s="4" t="inlineStr">
        <is>
          <t>Digital_Product_Rev_USD</t>
        </is>
      </c>
      <c r="H3" s="4" t="inlineStr">
        <is>
          <t>Sponsorship_Rev_USD</t>
        </is>
      </c>
      <c r="I3" s="4" t="inlineStr">
        <is>
          <t>Affiliate_Ad_Rev_USD</t>
        </is>
      </c>
      <c r="J3" s="4" t="inlineStr">
        <is>
          <t>Gross_Weekly_Rev_USD</t>
        </is>
      </c>
      <c r="K3" s="4" t="inlineStr">
        <is>
          <t>Weekly_Tool_Ops_Cost_USD</t>
        </is>
      </c>
      <c r="L3" s="4" t="inlineStr">
        <is>
          <t>Net_Weekly_Profit_USD</t>
        </is>
      </c>
      <c r="M3" s="4" t="inlineStr">
        <is>
          <t>Weekly_Operator_RPPH_USD</t>
        </is>
      </c>
      <c r="N3" s="4" t="inlineStr">
        <is>
          <t>CEO_Gate_Status</t>
        </is>
      </c>
    </row>
    <row r="4">
      <c r="A4" s="5" t="inlineStr">
        <is>
          <t>W01</t>
        </is>
      </c>
      <c r="B4" s="5" t="n">
        <v>4.25</v>
      </c>
      <c r="C4" s="5" t="n">
        <v>3.05</v>
      </c>
      <c r="D4" s="5" t="n">
        <v>2.52</v>
      </c>
      <c r="E4" s="5" t="n">
        <v>15</v>
      </c>
      <c r="F4" s="21" t="n">
        <v>0.462</v>
      </c>
      <c r="G4" s="7" t="n">
        <v>728</v>
      </c>
      <c r="H4" s="7" t="n">
        <v>800</v>
      </c>
      <c r="I4" s="7" t="n">
        <v>171</v>
      </c>
      <c r="J4" s="8">
        <f>G4+H4+I4</f>
        <v/>
      </c>
      <c r="K4" s="7" t="n">
        <v>68.5</v>
      </c>
      <c r="L4" s="8">
        <f>J4-K4</f>
        <v/>
      </c>
      <c r="M4" s="8">
        <f>ROUND(L4/B4,2)</f>
        <v/>
      </c>
      <c r="N4" s="9">
        <f>IF(AND(M4&gt;=200,B4&lt;=6),"GREEN (SCALING)","REVIEW GATE")</f>
        <v/>
      </c>
    </row>
    <row r="5">
      <c r="A5" s="10" t="inlineStr">
        <is>
          <t>W02</t>
        </is>
      </c>
      <c r="B5" s="10" t="n">
        <v>4.5</v>
      </c>
      <c r="C5" s="10" t="n">
        <v>3.4</v>
      </c>
      <c r="D5" s="10" t="n">
        <v>2.66</v>
      </c>
      <c r="E5" s="10" t="n">
        <v>15</v>
      </c>
      <c r="F5" s="22" t="n">
        <v>0.463</v>
      </c>
      <c r="G5" s="12" t="n">
        <v>776</v>
      </c>
      <c r="H5" s="12" t="n">
        <v>855</v>
      </c>
      <c r="I5" s="12" t="n">
        <v>182</v>
      </c>
      <c r="J5" s="13">
        <f>G5+H5+I5</f>
        <v/>
      </c>
      <c r="K5" s="12" t="n">
        <v>72</v>
      </c>
      <c r="L5" s="13">
        <f>J5-K5</f>
        <v/>
      </c>
      <c r="M5" s="13">
        <f>ROUND(L5/B5,2)</f>
        <v/>
      </c>
      <c r="N5" s="14">
        <f>IF(AND(M5&gt;=200,B5&lt;=6),"GREEN (SCALING)","REVIEW GATE")</f>
        <v/>
      </c>
    </row>
    <row r="6">
      <c r="A6" s="5" t="inlineStr">
        <is>
          <t>W03</t>
        </is>
      </c>
      <c r="B6" s="5" t="n">
        <v>4</v>
      </c>
      <c r="C6" s="5" t="n">
        <v>3.75</v>
      </c>
      <c r="D6" s="5" t="n">
        <v>2.8</v>
      </c>
      <c r="E6" s="5" t="n">
        <v>15</v>
      </c>
      <c r="F6" s="21" t="n">
        <v>0.465</v>
      </c>
      <c r="G6" s="7" t="n">
        <v>824</v>
      </c>
      <c r="H6" s="7" t="n">
        <v>855</v>
      </c>
      <c r="I6" s="7" t="n">
        <v>193</v>
      </c>
      <c r="J6" s="8">
        <f>G6+H6+I6</f>
        <v/>
      </c>
      <c r="K6" s="7" t="n">
        <v>75.5</v>
      </c>
      <c r="L6" s="8">
        <f>J6-K6</f>
        <v/>
      </c>
      <c r="M6" s="8">
        <f>ROUND(L6/B6,2)</f>
        <v/>
      </c>
      <c r="N6" s="9">
        <f>IF(AND(M6&gt;=200,B6&lt;=6),"GREEN (SCALING)","REVIEW GATE")</f>
        <v/>
      </c>
    </row>
    <row r="7">
      <c r="A7" s="10" t="inlineStr">
        <is>
          <t>W04</t>
        </is>
      </c>
      <c r="B7" s="10" t="n">
        <v>4.25</v>
      </c>
      <c r="C7" s="10" t="n">
        <v>4.1</v>
      </c>
      <c r="D7" s="10" t="n">
        <v>2.94</v>
      </c>
      <c r="E7" s="10" t="n">
        <v>15</v>
      </c>
      <c r="F7" s="22" t="n">
        <v>0.466</v>
      </c>
      <c r="G7" s="12" t="n">
        <v>872</v>
      </c>
      <c r="H7" s="12" t="n">
        <v>910</v>
      </c>
      <c r="I7" s="12" t="n">
        <v>204</v>
      </c>
      <c r="J7" s="13">
        <f>G7+H7+I7</f>
        <v/>
      </c>
      <c r="K7" s="12" t="n">
        <v>79</v>
      </c>
      <c r="L7" s="13">
        <f>J7-K7</f>
        <v/>
      </c>
      <c r="M7" s="13">
        <f>ROUND(L7/B7,2)</f>
        <v/>
      </c>
      <c r="N7" s="14">
        <f>IF(AND(M7&gt;=200,B7&lt;=6),"GREEN (SCALING)","REVIEW GATE")</f>
        <v/>
      </c>
    </row>
    <row r="8">
      <c r="A8" s="5" t="inlineStr">
        <is>
          <t>W05</t>
        </is>
      </c>
      <c r="B8" s="5" t="n">
        <v>4.5</v>
      </c>
      <c r="C8" s="5" t="n">
        <v>4.45</v>
      </c>
      <c r="D8" s="5" t="n">
        <v>2.38</v>
      </c>
      <c r="E8" s="5" t="n">
        <v>15</v>
      </c>
      <c r="F8" s="21" t="n">
        <v>0.468</v>
      </c>
      <c r="G8" s="7" t="n">
        <v>920</v>
      </c>
      <c r="H8" s="7" t="n">
        <v>910</v>
      </c>
      <c r="I8" s="7" t="n">
        <v>215</v>
      </c>
      <c r="J8" s="8">
        <f>G8+H8+I8</f>
        <v/>
      </c>
      <c r="K8" s="7" t="n">
        <v>82.5</v>
      </c>
      <c r="L8" s="8">
        <f>J8-K8</f>
        <v/>
      </c>
      <c r="M8" s="8">
        <f>ROUND(L8/B8,2)</f>
        <v/>
      </c>
      <c r="N8" s="9">
        <f>IF(AND(M8&gt;=200,B8&lt;=6),"GREEN (SCALING)","REVIEW GATE")</f>
        <v/>
      </c>
    </row>
    <row r="9">
      <c r="A9" s="10" t="inlineStr">
        <is>
          <t>W06</t>
        </is>
      </c>
      <c r="B9" s="10" t="n">
        <v>4</v>
      </c>
      <c r="C9" s="10" t="n">
        <v>4.8</v>
      </c>
      <c r="D9" s="10" t="n">
        <v>2.52</v>
      </c>
      <c r="E9" s="10" t="n">
        <v>15</v>
      </c>
      <c r="F9" s="22" t="n">
        <v>0.469</v>
      </c>
      <c r="G9" s="12" t="n">
        <v>968</v>
      </c>
      <c r="H9" s="12" t="n">
        <v>965</v>
      </c>
      <c r="I9" s="12" t="n">
        <v>226</v>
      </c>
      <c r="J9" s="13">
        <f>G9+H9+I9</f>
        <v/>
      </c>
      <c r="K9" s="12" t="n">
        <v>86</v>
      </c>
      <c r="L9" s="13">
        <f>J9-K9</f>
        <v/>
      </c>
      <c r="M9" s="13">
        <f>ROUND(L9/B9,2)</f>
        <v/>
      </c>
      <c r="N9" s="14">
        <f>IF(AND(M9&gt;=200,B9&lt;=6),"GREEN (SCALING)","REVIEW GATE")</f>
        <v/>
      </c>
    </row>
    <row r="10">
      <c r="A10" s="5" t="inlineStr">
        <is>
          <t>W07</t>
        </is>
      </c>
      <c r="B10" s="5" t="n">
        <v>4.25</v>
      </c>
      <c r="C10" s="5" t="n">
        <v>2.7</v>
      </c>
      <c r="D10" s="5" t="n">
        <v>2.66</v>
      </c>
      <c r="E10" s="5" t="n">
        <v>15</v>
      </c>
      <c r="F10" s="21" t="n">
        <v>0.471</v>
      </c>
      <c r="G10" s="7" t="n">
        <v>1016</v>
      </c>
      <c r="H10" s="7" t="n">
        <v>965</v>
      </c>
      <c r="I10" s="7" t="n">
        <v>237</v>
      </c>
      <c r="J10" s="8">
        <f>G10+H10+I10</f>
        <v/>
      </c>
      <c r="K10" s="7" t="n">
        <v>89.5</v>
      </c>
      <c r="L10" s="8">
        <f>J10-K10</f>
        <v/>
      </c>
      <c r="M10" s="8">
        <f>ROUND(L10/B10,2)</f>
        <v/>
      </c>
      <c r="N10" s="9">
        <f>IF(AND(M10&gt;=200,B10&lt;=6),"GREEN (SCALING)","REVIEW GATE")</f>
        <v/>
      </c>
    </row>
    <row r="11">
      <c r="A11" s="10" t="inlineStr">
        <is>
          <t>W08</t>
        </is>
      </c>
      <c r="B11" s="10" t="n">
        <v>4.5</v>
      </c>
      <c r="C11" s="10" t="n">
        <v>3.05</v>
      </c>
      <c r="D11" s="10" t="n">
        <v>2.8</v>
      </c>
      <c r="E11" s="10" t="n">
        <v>15</v>
      </c>
      <c r="F11" s="22" t="n">
        <v>0.472</v>
      </c>
      <c r="G11" s="12" t="n">
        <v>1064</v>
      </c>
      <c r="H11" s="12" t="n">
        <v>1020</v>
      </c>
      <c r="I11" s="12" t="n">
        <v>248</v>
      </c>
      <c r="J11" s="13">
        <f>G11+H11+I11</f>
        <v/>
      </c>
      <c r="K11" s="12" t="n">
        <v>93</v>
      </c>
      <c r="L11" s="13">
        <f>J11-K11</f>
        <v/>
      </c>
      <c r="M11" s="13">
        <f>ROUND(L11/B11,2)</f>
        <v/>
      </c>
      <c r="N11" s="14">
        <f>IF(AND(M11&gt;=200,B11&lt;=6),"GREEN (SCALING)","REVIEW GATE")</f>
        <v/>
      </c>
    </row>
    <row r="12">
      <c r="A12" s="5" t="inlineStr">
        <is>
          <t>W09</t>
        </is>
      </c>
      <c r="B12" s="5" t="n">
        <v>4</v>
      </c>
      <c r="C12" s="5" t="n">
        <v>3.4</v>
      </c>
      <c r="D12" s="5" t="n">
        <v>2.94</v>
      </c>
      <c r="E12" s="5" t="n">
        <v>15</v>
      </c>
      <c r="F12" s="21" t="n">
        <v>0.474</v>
      </c>
      <c r="G12" s="7" t="n">
        <v>1112</v>
      </c>
      <c r="H12" s="7" t="n">
        <v>1020</v>
      </c>
      <c r="I12" s="7" t="n">
        <v>259</v>
      </c>
      <c r="J12" s="8">
        <f>G12+H12+I12</f>
        <v/>
      </c>
      <c r="K12" s="7" t="n">
        <v>96.5</v>
      </c>
      <c r="L12" s="8">
        <f>J12-K12</f>
        <v/>
      </c>
      <c r="M12" s="8">
        <f>ROUND(L12/B12,2)</f>
        <v/>
      </c>
      <c r="N12" s="9">
        <f>IF(AND(M12&gt;=200,B12&lt;=6),"GREEN (SCALING)","REVIEW GATE")</f>
        <v/>
      </c>
    </row>
    <row r="13">
      <c r="A13" s="10" t="inlineStr">
        <is>
          <t>W10</t>
        </is>
      </c>
      <c r="B13" s="10" t="n">
        <v>4.25</v>
      </c>
      <c r="C13" s="10" t="n">
        <v>3.75</v>
      </c>
      <c r="D13" s="10" t="n">
        <v>2.38</v>
      </c>
      <c r="E13" s="10" t="n">
        <v>15</v>
      </c>
      <c r="F13" s="22" t="n">
        <v>0.475</v>
      </c>
      <c r="G13" s="12" t="n">
        <v>1160</v>
      </c>
      <c r="H13" s="12" t="n">
        <v>1075</v>
      </c>
      <c r="I13" s="12" t="n">
        <v>270</v>
      </c>
      <c r="J13" s="13">
        <f>G13+H13+I13</f>
        <v/>
      </c>
      <c r="K13" s="12" t="n">
        <v>100</v>
      </c>
      <c r="L13" s="13">
        <f>J13-K13</f>
        <v/>
      </c>
      <c r="M13" s="13">
        <f>ROUND(L13/B13,2)</f>
        <v/>
      </c>
      <c r="N13" s="14">
        <f>IF(AND(M13&gt;=200,B13&lt;=6),"GREEN (SCALING)","REVIEW GATE")</f>
        <v/>
      </c>
    </row>
    <row r="14">
      <c r="A14" s="5" t="inlineStr">
        <is>
          <t>W11</t>
        </is>
      </c>
      <c r="B14" s="5" t="n">
        <v>4.5</v>
      </c>
      <c r="C14" s="5" t="n">
        <v>4.1</v>
      </c>
      <c r="D14" s="5" t="n">
        <v>2.52</v>
      </c>
      <c r="E14" s="5" t="n">
        <v>15</v>
      </c>
      <c r="F14" s="21" t="n">
        <v>0.477</v>
      </c>
      <c r="G14" s="7" t="n">
        <v>1208</v>
      </c>
      <c r="H14" s="7" t="n">
        <v>1075</v>
      </c>
      <c r="I14" s="7" t="n">
        <v>281</v>
      </c>
      <c r="J14" s="8">
        <f>G14+H14+I14</f>
        <v/>
      </c>
      <c r="K14" s="7" t="n">
        <v>103.5</v>
      </c>
      <c r="L14" s="8">
        <f>J14-K14</f>
        <v/>
      </c>
      <c r="M14" s="8">
        <f>ROUND(L14/B14,2)</f>
        <v/>
      </c>
      <c r="N14" s="9">
        <f>IF(AND(M14&gt;=200,B14&lt;=6),"GREEN (SCALING)","REVIEW GATE")</f>
        <v/>
      </c>
    </row>
    <row r="15">
      <c r="A15" s="10" t="inlineStr">
        <is>
          <t>W12</t>
        </is>
      </c>
      <c r="B15" s="10" t="n">
        <v>4</v>
      </c>
      <c r="C15" s="10" t="n">
        <v>4.45</v>
      </c>
      <c r="D15" s="10" t="n">
        <v>2.66</v>
      </c>
      <c r="E15" s="10" t="n">
        <v>15</v>
      </c>
      <c r="F15" s="22" t="n">
        <v>0.478</v>
      </c>
      <c r="G15" s="12" t="n">
        <v>1256</v>
      </c>
      <c r="H15" s="12" t="n">
        <v>1130</v>
      </c>
      <c r="I15" s="12" t="n">
        <v>292</v>
      </c>
      <c r="J15" s="13">
        <f>G15+H15+I15</f>
        <v/>
      </c>
      <c r="K15" s="12" t="n">
        <v>107</v>
      </c>
      <c r="L15" s="13">
        <f>J15-K15</f>
        <v/>
      </c>
      <c r="M15" s="13">
        <f>ROUND(L15/B15,2)</f>
        <v/>
      </c>
      <c r="N15" s="14">
        <f>IF(AND(M15&gt;=200,B15&lt;=6),"GREEN (SCALING)","REVIEW GATE")</f>
        <v/>
      </c>
    </row>
    <row r="16">
      <c r="A16" s="5" t="inlineStr">
        <is>
          <t>W13</t>
        </is>
      </c>
      <c r="B16" s="5" t="n">
        <v>4.25</v>
      </c>
      <c r="C16" s="5" t="n">
        <v>4.8</v>
      </c>
      <c r="D16" s="5" t="n">
        <v>2.8</v>
      </c>
      <c r="E16" s="5" t="n">
        <v>15</v>
      </c>
      <c r="F16" s="21" t="n">
        <v>0.48</v>
      </c>
      <c r="G16" s="7" t="n">
        <v>1304</v>
      </c>
      <c r="H16" s="7" t="n">
        <v>1130</v>
      </c>
      <c r="I16" s="7" t="n">
        <v>303</v>
      </c>
      <c r="J16" s="8">
        <f>G16+H16+I16</f>
        <v/>
      </c>
      <c r="K16" s="7" t="n">
        <v>110.5</v>
      </c>
      <c r="L16" s="8">
        <f>J16-K16</f>
        <v/>
      </c>
      <c r="M16" s="8">
        <f>ROUND(L16/B16,2)</f>
        <v/>
      </c>
      <c r="N16" s="9">
        <f>IF(AND(M16&gt;=200,B16&lt;=6),"GREEN (SCALING)","REVIEW GATE")</f>
        <v/>
      </c>
    </row>
    <row r="17">
      <c r="A17" s="10" t="inlineStr">
        <is>
          <t>W14</t>
        </is>
      </c>
      <c r="B17" s="10" t="n">
        <v>4.5</v>
      </c>
      <c r="C17" s="10" t="n">
        <v>2.7</v>
      </c>
      <c r="D17" s="10" t="n">
        <v>2.94</v>
      </c>
      <c r="E17" s="10" t="n">
        <v>15</v>
      </c>
      <c r="F17" s="22" t="n">
        <v>0.481</v>
      </c>
      <c r="G17" s="12" t="n">
        <v>1352</v>
      </c>
      <c r="H17" s="12" t="n">
        <v>1185</v>
      </c>
      <c r="I17" s="12" t="n">
        <v>314</v>
      </c>
      <c r="J17" s="13">
        <f>G17+H17+I17</f>
        <v/>
      </c>
      <c r="K17" s="12" t="n">
        <v>114</v>
      </c>
      <c r="L17" s="13">
        <f>J17-K17</f>
        <v/>
      </c>
      <c r="M17" s="13">
        <f>ROUND(L17/B17,2)</f>
        <v/>
      </c>
      <c r="N17" s="14">
        <f>IF(AND(M17&gt;=200,B17&lt;=6),"GREEN (SCALING)","REVIEW GATE")</f>
        <v/>
      </c>
    </row>
    <row r="18">
      <c r="A18" s="5" t="inlineStr">
        <is>
          <t>W15</t>
        </is>
      </c>
      <c r="B18" s="5" t="n">
        <v>4</v>
      </c>
      <c r="C18" s="5" t="n">
        <v>3.05</v>
      </c>
      <c r="D18" s="5" t="n">
        <v>2.38</v>
      </c>
      <c r="E18" s="5" t="n">
        <v>15</v>
      </c>
      <c r="F18" s="21" t="n">
        <v>0.483</v>
      </c>
      <c r="G18" s="7" t="n">
        <v>1400</v>
      </c>
      <c r="H18" s="7" t="n">
        <v>1185</v>
      </c>
      <c r="I18" s="7" t="n">
        <v>325</v>
      </c>
      <c r="J18" s="8">
        <f>G18+H18+I18</f>
        <v/>
      </c>
      <c r="K18" s="7" t="n">
        <v>117.5</v>
      </c>
      <c r="L18" s="8">
        <f>J18-K18</f>
        <v/>
      </c>
      <c r="M18" s="8">
        <f>ROUND(L18/B18,2)</f>
        <v/>
      </c>
      <c r="N18" s="9">
        <f>IF(AND(M18&gt;=200,B18&lt;=6),"GREEN (SCALING)","REVIEW GATE")</f>
        <v/>
      </c>
    </row>
    <row r="19">
      <c r="A19" s="10" t="inlineStr">
        <is>
          <t>W16</t>
        </is>
      </c>
      <c r="B19" s="10" t="n">
        <v>4.25</v>
      </c>
      <c r="C19" s="10" t="n">
        <v>3.4</v>
      </c>
      <c r="D19" s="10" t="n">
        <v>2.52</v>
      </c>
      <c r="E19" s="10" t="n">
        <v>15</v>
      </c>
      <c r="F19" s="22" t="n">
        <v>0.484</v>
      </c>
      <c r="G19" s="12" t="n">
        <v>1448</v>
      </c>
      <c r="H19" s="12" t="n">
        <v>1240</v>
      </c>
      <c r="I19" s="12" t="n">
        <v>336</v>
      </c>
      <c r="J19" s="13">
        <f>G19+H19+I19</f>
        <v/>
      </c>
      <c r="K19" s="12" t="n">
        <v>121</v>
      </c>
      <c r="L19" s="13">
        <f>J19-K19</f>
        <v/>
      </c>
      <c r="M19" s="13">
        <f>ROUND(L19/B19,2)</f>
        <v/>
      </c>
      <c r="N19" s="14">
        <f>IF(AND(M19&gt;=200,B19&lt;=6),"GREEN (SCALING)","REVIEW GATE")</f>
        <v/>
      </c>
    </row>
    <row r="20">
      <c r="A20" s="5" t="inlineStr">
        <is>
          <t>W17</t>
        </is>
      </c>
      <c r="B20" s="5" t="n">
        <v>4.5</v>
      </c>
      <c r="C20" s="5" t="n">
        <v>3.75</v>
      </c>
      <c r="D20" s="5" t="n">
        <v>2.66</v>
      </c>
      <c r="E20" s="5" t="n">
        <v>15</v>
      </c>
      <c r="F20" s="21" t="n">
        <v>0.486</v>
      </c>
      <c r="G20" s="7" t="n">
        <v>1496</v>
      </c>
      <c r="H20" s="7" t="n">
        <v>1240</v>
      </c>
      <c r="I20" s="7" t="n">
        <v>347</v>
      </c>
      <c r="J20" s="8">
        <f>G20+H20+I20</f>
        <v/>
      </c>
      <c r="K20" s="7" t="n">
        <v>124.5</v>
      </c>
      <c r="L20" s="8">
        <f>J20-K20</f>
        <v/>
      </c>
      <c r="M20" s="8">
        <f>ROUND(L20/B20,2)</f>
        <v/>
      </c>
      <c r="N20" s="9">
        <f>IF(AND(M20&gt;=200,B20&lt;=6),"GREEN (SCALING)","REVIEW GATE")</f>
        <v/>
      </c>
    </row>
    <row r="21">
      <c r="A21" s="10" t="inlineStr">
        <is>
          <t>W18</t>
        </is>
      </c>
      <c r="B21" s="10" t="n">
        <v>4</v>
      </c>
      <c r="C21" s="10" t="n">
        <v>4.1</v>
      </c>
      <c r="D21" s="10" t="n">
        <v>2.8</v>
      </c>
      <c r="E21" s="10" t="n">
        <v>15</v>
      </c>
      <c r="F21" s="22" t="n">
        <v>0.487</v>
      </c>
      <c r="G21" s="12" t="n">
        <v>1544</v>
      </c>
      <c r="H21" s="12" t="n">
        <v>1295</v>
      </c>
      <c r="I21" s="12" t="n">
        <v>358</v>
      </c>
      <c r="J21" s="13">
        <f>G21+H21+I21</f>
        <v/>
      </c>
      <c r="K21" s="12" t="n">
        <v>128</v>
      </c>
      <c r="L21" s="13">
        <f>J21-K21</f>
        <v/>
      </c>
      <c r="M21" s="13">
        <f>ROUND(L21/B21,2)</f>
        <v/>
      </c>
      <c r="N21" s="14">
        <f>IF(AND(M21&gt;=200,B21&lt;=6),"GREEN (SCALING)","REVIEW GATE")</f>
        <v/>
      </c>
    </row>
    <row r="22">
      <c r="A22" s="5" t="inlineStr">
        <is>
          <t>W19</t>
        </is>
      </c>
      <c r="B22" s="5" t="n">
        <v>4.25</v>
      </c>
      <c r="C22" s="5" t="n">
        <v>4.45</v>
      </c>
      <c r="D22" s="5" t="n">
        <v>2.94</v>
      </c>
      <c r="E22" s="5" t="n">
        <v>15</v>
      </c>
      <c r="F22" s="21" t="n">
        <v>0.489</v>
      </c>
      <c r="G22" s="7" t="n">
        <v>1592</v>
      </c>
      <c r="H22" s="7" t="n">
        <v>1295</v>
      </c>
      <c r="I22" s="7" t="n">
        <v>369</v>
      </c>
      <c r="J22" s="8">
        <f>G22+H22+I22</f>
        <v/>
      </c>
      <c r="K22" s="7" t="n">
        <v>131.5</v>
      </c>
      <c r="L22" s="8">
        <f>J22-K22</f>
        <v/>
      </c>
      <c r="M22" s="8">
        <f>ROUND(L22/B22,2)</f>
        <v/>
      </c>
      <c r="N22" s="9">
        <f>IF(AND(M22&gt;=200,B22&lt;=6),"GREEN (SCALING)","REVIEW GATE")</f>
        <v/>
      </c>
    </row>
    <row r="23">
      <c r="A23" s="10" t="inlineStr">
        <is>
          <t>W20</t>
        </is>
      </c>
      <c r="B23" s="10" t="n">
        <v>4.5</v>
      </c>
      <c r="C23" s="10" t="n">
        <v>4.8</v>
      </c>
      <c r="D23" s="10" t="n">
        <v>2.38</v>
      </c>
      <c r="E23" s="10" t="n">
        <v>15</v>
      </c>
      <c r="F23" s="22" t="n">
        <v>0.49</v>
      </c>
      <c r="G23" s="12" t="n">
        <v>1640</v>
      </c>
      <c r="H23" s="12" t="n">
        <v>1350</v>
      </c>
      <c r="I23" s="12" t="n">
        <v>380</v>
      </c>
      <c r="J23" s="13">
        <f>G23+H23+I23</f>
        <v/>
      </c>
      <c r="K23" s="12" t="n">
        <v>135</v>
      </c>
      <c r="L23" s="13">
        <f>J23-K23</f>
        <v/>
      </c>
      <c r="M23" s="13">
        <f>ROUND(L23/B23,2)</f>
        <v/>
      </c>
      <c r="N23" s="14">
        <f>IF(AND(M23&gt;=200,B23&lt;=6),"GREEN (SCALING)","REVIEW GATE")</f>
        <v/>
      </c>
    </row>
    <row r="24">
      <c r="A24" s="5" t="inlineStr">
        <is>
          <t>W21</t>
        </is>
      </c>
      <c r="B24" s="5" t="n">
        <v>4</v>
      </c>
      <c r="C24" s="5" t="n">
        <v>2.7</v>
      </c>
      <c r="D24" s="5" t="n">
        <v>2.52</v>
      </c>
      <c r="E24" s="5" t="n">
        <v>15</v>
      </c>
      <c r="F24" s="21" t="n">
        <v>0.492</v>
      </c>
      <c r="G24" s="7" t="n">
        <v>1688</v>
      </c>
      <c r="H24" s="7" t="n">
        <v>1350</v>
      </c>
      <c r="I24" s="7" t="n">
        <v>391</v>
      </c>
      <c r="J24" s="8">
        <f>G24+H24+I24</f>
        <v/>
      </c>
      <c r="K24" s="7" t="n">
        <v>138.5</v>
      </c>
      <c r="L24" s="8">
        <f>J24-K24</f>
        <v/>
      </c>
      <c r="M24" s="8">
        <f>ROUND(L24/B24,2)</f>
        <v/>
      </c>
      <c r="N24" s="9">
        <f>IF(AND(M24&gt;=200,B24&lt;=6),"GREEN (SCALING)","REVIEW GATE")</f>
        <v/>
      </c>
    </row>
    <row r="25">
      <c r="A25" s="10" t="inlineStr">
        <is>
          <t>W22</t>
        </is>
      </c>
      <c r="B25" s="10" t="n">
        <v>4.25</v>
      </c>
      <c r="C25" s="10" t="n">
        <v>3.05</v>
      </c>
      <c r="D25" s="10" t="n">
        <v>2.66</v>
      </c>
      <c r="E25" s="10" t="n">
        <v>15</v>
      </c>
      <c r="F25" s="22" t="n">
        <v>0.493</v>
      </c>
      <c r="G25" s="12" t="n">
        <v>1736</v>
      </c>
      <c r="H25" s="12" t="n">
        <v>1405</v>
      </c>
      <c r="I25" s="12" t="n">
        <v>402</v>
      </c>
      <c r="J25" s="13">
        <f>G25+H25+I25</f>
        <v/>
      </c>
      <c r="K25" s="12" t="n">
        <v>142</v>
      </c>
      <c r="L25" s="13">
        <f>J25-K25</f>
        <v/>
      </c>
      <c r="M25" s="13">
        <f>ROUND(L25/B25,2)</f>
        <v/>
      </c>
      <c r="N25" s="14">
        <f>IF(AND(M25&gt;=200,B25&lt;=6),"GREEN (SCALING)","REVIEW GATE")</f>
        <v/>
      </c>
    </row>
    <row r="26">
      <c r="A26" s="5" t="inlineStr">
        <is>
          <t>W23</t>
        </is>
      </c>
      <c r="B26" s="5" t="n">
        <v>4.5</v>
      </c>
      <c r="C26" s="5" t="n">
        <v>3.4</v>
      </c>
      <c r="D26" s="5" t="n">
        <v>2.8</v>
      </c>
      <c r="E26" s="5" t="n">
        <v>15</v>
      </c>
      <c r="F26" s="21" t="n">
        <v>0.495</v>
      </c>
      <c r="G26" s="7" t="n">
        <v>1784</v>
      </c>
      <c r="H26" s="7" t="n">
        <v>1405</v>
      </c>
      <c r="I26" s="7" t="n">
        <v>413</v>
      </c>
      <c r="J26" s="8">
        <f>G26+H26+I26</f>
        <v/>
      </c>
      <c r="K26" s="7" t="n">
        <v>145.5</v>
      </c>
      <c r="L26" s="8">
        <f>J26-K26</f>
        <v/>
      </c>
      <c r="M26" s="8">
        <f>ROUND(L26/B26,2)</f>
        <v/>
      </c>
      <c r="N26" s="9">
        <f>IF(AND(M26&gt;=200,B26&lt;=6),"GREEN (SCALING)","REVIEW GATE")</f>
        <v/>
      </c>
    </row>
    <row r="27">
      <c r="A27" s="10" t="inlineStr">
        <is>
          <t>W24</t>
        </is>
      </c>
      <c r="B27" s="10" t="n">
        <v>4</v>
      </c>
      <c r="C27" s="10" t="n">
        <v>3.75</v>
      </c>
      <c r="D27" s="10" t="n">
        <v>2.94</v>
      </c>
      <c r="E27" s="10" t="n">
        <v>15</v>
      </c>
      <c r="F27" s="22" t="n">
        <v>0.496</v>
      </c>
      <c r="G27" s="12" t="n">
        <v>1832</v>
      </c>
      <c r="H27" s="12" t="n">
        <v>1460</v>
      </c>
      <c r="I27" s="12" t="n">
        <v>424</v>
      </c>
      <c r="J27" s="13">
        <f>G27+H27+I27</f>
        <v/>
      </c>
      <c r="K27" s="12" t="n">
        <v>149</v>
      </c>
      <c r="L27" s="13">
        <f>J27-K27</f>
        <v/>
      </c>
      <c r="M27" s="13">
        <f>ROUND(L27/B27,2)</f>
        <v/>
      </c>
      <c r="N27" s="14">
        <f>IF(AND(M27&gt;=200,B27&lt;=6),"GREEN (SCALING)","REVIEW GATE")</f>
        <v/>
      </c>
    </row>
    <row r="28">
      <c r="A28" s="5" t="inlineStr">
        <is>
          <t>W25</t>
        </is>
      </c>
      <c r="B28" s="5" t="n">
        <v>4.25</v>
      </c>
      <c r="C28" s="5" t="n">
        <v>4.1</v>
      </c>
      <c r="D28" s="5" t="n">
        <v>2.38</v>
      </c>
      <c r="E28" s="5" t="n">
        <v>15</v>
      </c>
      <c r="F28" s="21" t="n">
        <v>0.497</v>
      </c>
      <c r="G28" s="7" t="n">
        <v>1880</v>
      </c>
      <c r="H28" s="7" t="n">
        <v>1460</v>
      </c>
      <c r="I28" s="7" t="n">
        <v>435</v>
      </c>
      <c r="J28" s="8">
        <f>G28+H28+I28</f>
        <v/>
      </c>
      <c r="K28" s="7" t="n">
        <v>152.5</v>
      </c>
      <c r="L28" s="8">
        <f>J28-K28</f>
        <v/>
      </c>
      <c r="M28" s="8">
        <f>ROUND(L28/B28,2)</f>
        <v/>
      </c>
      <c r="N28" s="9">
        <f>IF(AND(M28&gt;=200,B28&lt;=6),"GREEN (SCALING)","REVIEW GATE")</f>
        <v/>
      </c>
    </row>
    <row r="29">
      <c r="A29" s="10" t="inlineStr">
        <is>
          <t>W26</t>
        </is>
      </c>
      <c r="B29" s="10" t="n">
        <v>4.5</v>
      </c>
      <c r="C29" s="10" t="n">
        <v>4.45</v>
      </c>
      <c r="D29" s="10" t="n">
        <v>2.52</v>
      </c>
      <c r="E29" s="10" t="n">
        <v>15</v>
      </c>
      <c r="F29" s="22" t="n">
        <v>0.499</v>
      </c>
      <c r="G29" s="12" t="n">
        <v>1928</v>
      </c>
      <c r="H29" s="12" t="n">
        <v>1515</v>
      </c>
      <c r="I29" s="12" t="n">
        <v>446</v>
      </c>
      <c r="J29" s="13">
        <f>G29+H29+I29</f>
        <v/>
      </c>
      <c r="K29" s="12" t="n">
        <v>156</v>
      </c>
      <c r="L29" s="13">
        <f>J29-K29</f>
        <v/>
      </c>
      <c r="M29" s="13">
        <f>ROUND(L29/B29,2)</f>
        <v/>
      </c>
      <c r="N29" s="14">
        <f>IF(AND(M29&gt;=200,B29&lt;=6),"GREEN (SCALING)","REVIEW GATE")</f>
        <v/>
      </c>
    </row>
    <row r="30">
      <c r="A30" s="5" t="inlineStr">
        <is>
          <t>W27</t>
        </is>
      </c>
      <c r="B30" s="5" t="n">
        <v>4</v>
      </c>
      <c r="C30" s="5" t="n">
        <v>4.8</v>
      </c>
      <c r="D30" s="5" t="n">
        <v>2.66</v>
      </c>
      <c r="E30" s="5" t="n">
        <v>15</v>
      </c>
      <c r="F30" s="21" t="n">
        <v>0.501</v>
      </c>
      <c r="G30" s="7" t="n">
        <v>1976</v>
      </c>
      <c r="H30" s="7" t="n">
        <v>1515</v>
      </c>
      <c r="I30" s="7" t="n">
        <v>457</v>
      </c>
      <c r="J30" s="8">
        <f>G30+H30+I30</f>
        <v/>
      </c>
      <c r="K30" s="7" t="n">
        <v>159.5</v>
      </c>
      <c r="L30" s="8">
        <f>J30-K30</f>
        <v/>
      </c>
      <c r="M30" s="8">
        <f>ROUND(L30/B30,2)</f>
        <v/>
      </c>
      <c r="N30" s="9">
        <f>IF(AND(M30&gt;=200,B30&lt;=6),"GREEN (SCALING)","REVIEW GATE")</f>
        <v/>
      </c>
    </row>
    <row r="31">
      <c r="A31" s="10" t="inlineStr">
        <is>
          <t>W28</t>
        </is>
      </c>
      <c r="B31" s="10" t="n">
        <v>4.25</v>
      </c>
      <c r="C31" s="10" t="n">
        <v>2.7</v>
      </c>
      <c r="D31" s="10" t="n">
        <v>2.8</v>
      </c>
      <c r="E31" s="10" t="n">
        <v>15</v>
      </c>
      <c r="F31" s="22" t="n">
        <v>0.502</v>
      </c>
      <c r="G31" s="12" t="n">
        <v>2024</v>
      </c>
      <c r="H31" s="12" t="n">
        <v>1570</v>
      </c>
      <c r="I31" s="12" t="n">
        <v>468</v>
      </c>
      <c r="J31" s="13">
        <f>G31+H31+I31</f>
        <v/>
      </c>
      <c r="K31" s="12" t="n">
        <v>163</v>
      </c>
      <c r="L31" s="13">
        <f>J31-K31</f>
        <v/>
      </c>
      <c r="M31" s="13">
        <f>ROUND(L31/B31,2)</f>
        <v/>
      </c>
      <c r="N31" s="14">
        <f>IF(AND(M31&gt;=200,B31&lt;=6),"GREEN (SCALING)","REVIEW GATE")</f>
        <v/>
      </c>
    </row>
    <row r="32">
      <c r="A32" s="5" t="inlineStr">
        <is>
          <t>W29</t>
        </is>
      </c>
      <c r="B32" s="5" t="n">
        <v>4.5</v>
      </c>
      <c r="C32" s="5" t="n">
        <v>3.05</v>
      </c>
      <c r="D32" s="5" t="n">
        <v>2.94</v>
      </c>
      <c r="E32" s="5" t="n">
        <v>15</v>
      </c>
      <c r="F32" s="21" t="n">
        <v>0.504</v>
      </c>
      <c r="G32" s="7" t="n">
        <v>2072</v>
      </c>
      <c r="H32" s="7" t="n">
        <v>1570</v>
      </c>
      <c r="I32" s="7" t="n">
        <v>479</v>
      </c>
      <c r="J32" s="8">
        <f>G32+H32+I32</f>
        <v/>
      </c>
      <c r="K32" s="7" t="n">
        <v>166.5</v>
      </c>
      <c r="L32" s="8">
        <f>J32-K32</f>
        <v/>
      </c>
      <c r="M32" s="8">
        <f>ROUND(L32/B32,2)</f>
        <v/>
      </c>
      <c r="N32" s="9">
        <f>IF(AND(M32&gt;=200,B32&lt;=6),"GREEN (SCALING)","REVIEW GATE")</f>
        <v/>
      </c>
    </row>
    <row r="33">
      <c r="A33" s="10" t="inlineStr">
        <is>
          <t>W30</t>
        </is>
      </c>
      <c r="B33" s="10" t="n">
        <v>4</v>
      </c>
      <c r="C33" s="10" t="n">
        <v>3.4</v>
      </c>
      <c r="D33" s="10" t="n">
        <v>2.38</v>
      </c>
      <c r="E33" s="10" t="n">
        <v>15</v>
      </c>
      <c r="F33" s="22" t="n">
        <v>0.505</v>
      </c>
      <c r="G33" s="12" t="n">
        <v>2120</v>
      </c>
      <c r="H33" s="12" t="n">
        <v>1625</v>
      </c>
      <c r="I33" s="12" t="n">
        <v>490</v>
      </c>
      <c r="J33" s="13">
        <f>G33+H33+I33</f>
        <v/>
      </c>
      <c r="K33" s="12" t="n">
        <v>170</v>
      </c>
      <c r="L33" s="13">
        <f>J33-K33</f>
        <v/>
      </c>
      <c r="M33" s="13">
        <f>ROUND(L33/B33,2)</f>
        <v/>
      </c>
      <c r="N33" s="14">
        <f>IF(AND(M33&gt;=200,B33&lt;=6),"GREEN (SCALING)","REVIEW GATE")</f>
        <v/>
      </c>
    </row>
    <row r="34">
      <c r="A34" s="5" t="inlineStr">
        <is>
          <t>W31</t>
        </is>
      </c>
      <c r="B34" s="5" t="n">
        <v>4.25</v>
      </c>
      <c r="C34" s="5" t="n">
        <v>3.75</v>
      </c>
      <c r="D34" s="5" t="n">
        <v>2.52</v>
      </c>
      <c r="E34" s="5" t="n">
        <v>15</v>
      </c>
      <c r="F34" s="21" t="n">
        <v>0.507</v>
      </c>
      <c r="G34" s="7" t="n">
        <v>2168</v>
      </c>
      <c r="H34" s="7" t="n">
        <v>1625</v>
      </c>
      <c r="I34" s="7" t="n">
        <v>501</v>
      </c>
      <c r="J34" s="8">
        <f>G34+H34+I34</f>
        <v/>
      </c>
      <c r="K34" s="7" t="n">
        <v>173.5</v>
      </c>
      <c r="L34" s="8">
        <f>J34-K34</f>
        <v/>
      </c>
      <c r="M34" s="8">
        <f>ROUND(L34/B34,2)</f>
        <v/>
      </c>
      <c r="N34" s="9">
        <f>IF(AND(M34&gt;=200,B34&lt;=6),"GREEN (SCALING)","REVIEW GATE")</f>
        <v/>
      </c>
    </row>
    <row r="35">
      <c r="A35" s="10" t="inlineStr">
        <is>
          <t>W32</t>
        </is>
      </c>
      <c r="B35" s="10" t="n">
        <v>4.5</v>
      </c>
      <c r="C35" s="10" t="n">
        <v>4.1</v>
      </c>
      <c r="D35" s="10" t="n">
        <v>2.66</v>
      </c>
      <c r="E35" s="10" t="n">
        <v>15</v>
      </c>
      <c r="F35" s="22" t="n">
        <v>0.508</v>
      </c>
      <c r="G35" s="12" t="n">
        <v>2216</v>
      </c>
      <c r="H35" s="12" t="n">
        <v>1680</v>
      </c>
      <c r="I35" s="12" t="n">
        <v>512</v>
      </c>
      <c r="J35" s="13">
        <f>G35+H35+I35</f>
        <v/>
      </c>
      <c r="K35" s="12" t="n">
        <v>177</v>
      </c>
      <c r="L35" s="13">
        <f>J35-K35</f>
        <v/>
      </c>
      <c r="M35" s="13">
        <f>ROUND(L35/B35,2)</f>
        <v/>
      </c>
      <c r="N35" s="14">
        <f>IF(AND(M35&gt;=200,B35&lt;=6),"GREEN (SCALING)","REVIEW GATE")</f>
        <v/>
      </c>
    </row>
    <row r="36">
      <c r="A36" s="5" t="inlineStr">
        <is>
          <t>W33</t>
        </is>
      </c>
      <c r="B36" s="5" t="n">
        <v>4</v>
      </c>
      <c r="C36" s="5" t="n">
        <v>4.45</v>
      </c>
      <c r="D36" s="5" t="n">
        <v>2.8</v>
      </c>
      <c r="E36" s="5" t="n">
        <v>15</v>
      </c>
      <c r="F36" s="21" t="n">
        <v>0.51</v>
      </c>
      <c r="G36" s="7" t="n">
        <v>2264</v>
      </c>
      <c r="H36" s="7" t="n">
        <v>1680</v>
      </c>
      <c r="I36" s="7" t="n">
        <v>523</v>
      </c>
      <c r="J36" s="8">
        <f>G36+H36+I36</f>
        <v/>
      </c>
      <c r="K36" s="7" t="n">
        <v>180.5</v>
      </c>
      <c r="L36" s="8">
        <f>J36-K36</f>
        <v/>
      </c>
      <c r="M36" s="8">
        <f>ROUND(L36/B36,2)</f>
        <v/>
      </c>
      <c r="N36" s="9">
        <f>IF(AND(M36&gt;=200,B36&lt;=6),"GREEN (SCALING)","REVIEW GATE")</f>
        <v/>
      </c>
    </row>
    <row r="37">
      <c r="A37" s="10" t="inlineStr">
        <is>
          <t>W34</t>
        </is>
      </c>
      <c r="B37" s="10" t="n">
        <v>4.25</v>
      </c>
      <c r="C37" s="10" t="n">
        <v>4.8</v>
      </c>
      <c r="D37" s="10" t="n">
        <v>2.94</v>
      </c>
      <c r="E37" s="10" t="n">
        <v>15</v>
      </c>
      <c r="F37" s="22" t="n">
        <v>0.511</v>
      </c>
      <c r="G37" s="12" t="n">
        <v>2312</v>
      </c>
      <c r="H37" s="12" t="n">
        <v>1735</v>
      </c>
      <c r="I37" s="12" t="n">
        <v>534</v>
      </c>
      <c r="J37" s="13">
        <f>G37+H37+I37</f>
        <v/>
      </c>
      <c r="K37" s="12" t="n">
        <v>184</v>
      </c>
      <c r="L37" s="13">
        <f>J37-K37</f>
        <v/>
      </c>
      <c r="M37" s="13">
        <f>ROUND(L37/B37,2)</f>
        <v/>
      </c>
      <c r="N37" s="14">
        <f>IF(AND(M37&gt;=200,B37&lt;=6),"GREEN (SCALING)","REVIEW GATE")</f>
        <v/>
      </c>
    </row>
    <row r="38">
      <c r="A38" s="5" t="inlineStr">
        <is>
          <t>W35</t>
        </is>
      </c>
      <c r="B38" s="5" t="n">
        <v>4.5</v>
      </c>
      <c r="C38" s="5" t="n">
        <v>2.7</v>
      </c>
      <c r="D38" s="5" t="n">
        <v>2.38</v>
      </c>
      <c r="E38" s="5" t="n">
        <v>15</v>
      </c>
      <c r="F38" s="21" t="n">
        <v>0.513</v>
      </c>
      <c r="G38" s="7" t="n">
        <v>2360</v>
      </c>
      <c r="H38" s="7" t="n">
        <v>1735</v>
      </c>
      <c r="I38" s="7" t="n">
        <v>545</v>
      </c>
      <c r="J38" s="8">
        <f>G38+H38+I38</f>
        <v/>
      </c>
      <c r="K38" s="7" t="n">
        <v>187.5</v>
      </c>
      <c r="L38" s="8">
        <f>J38-K38</f>
        <v/>
      </c>
      <c r="M38" s="8">
        <f>ROUND(L38/B38,2)</f>
        <v/>
      </c>
      <c r="N38" s="9">
        <f>IF(AND(M38&gt;=200,B38&lt;=6),"GREEN (SCALING)","REVIEW GATE")</f>
        <v/>
      </c>
    </row>
    <row r="39">
      <c r="A39" s="10" t="inlineStr">
        <is>
          <t>W36</t>
        </is>
      </c>
      <c r="B39" s="10" t="n">
        <v>4</v>
      </c>
      <c r="C39" s="10" t="n">
        <v>3.05</v>
      </c>
      <c r="D39" s="10" t="n">
        <v>2.52</v>
      </c>
      <c r="E39" s="10" t="n">
        <v>15</v>
      </c>
      <c r="F39" s="22" t="n">
        <v>0.514</v>
      </c>
      <c r="G39" s="12" t="n">
        <v>2408</v>
      </c>
      <c r="H39" s="12" t="n">
        <v>1790</v>
      </c>
      <c r="I39" s="12" t="n">
        <v>556</v>
      </c>
      <c r="J39" s="13">
        <f>G39+H39+I39</f>
        <v/>
      </c>
      <c r="K39" s="12" t="n">
        <v>191</v>
      </c>
      <c r="L39" s="13">
        <f>J39-K39</f>
        <v/>
      </c>
      <c r="M39" s="13">
        <f>ROUND(L39/B39,2)</f>
        <v/>
      </c>
      <c r="N39" s="14">
        <f>IF(AND(M39&gt;=200,B39&lt;=6),"GREEN (SCALING)","REVIEW GATE")</f>
        <v/>
      </c>
    </row>
    <row r="40">
      <c r="A40" s="5" t="inlineStr">
        <is>
          <t>W37</t>
        </is>
      </c>
      <c r="B40" s="5" t="n">
        <v>4.25</v>
      </c>
      <c r="C40" s="5" t="n">
        <v>3.4</v>
      </c>
      <c r="D40" s="5" t="n">
        <v>2.66</v>
      </c>
      <c r="E40" s="5" t="n">
        <v>15</v>
      </c>
      <c r="F40" s="21" t="n">
        <v>0.516</v>
      </c>
      <c r="G40" s="7" t="n">
        <v>2456</v>
      </c>
      <c r="H40" s="7" t="n">
        <v>1790</v>
      </c>
      <c r="I40" s="7" t="n">
        <v>567</v>
      </c>
      <c r="J40" s="8">
        <f>G40+H40+I40</f>
        <v/>
      </c>
      <c r="K40" s="7" t="n">
        <v>194.5</v>
      </c>
      <c r="L40" s="8">
        <f>J40-K40</f>
        <v/>
      </c>
      <c r="M40" s="8">
        <f>ROUND(L40/B40,2)</f>
        <v/>
      </c>
      <c r="N40" s="9">
        <f>IF(AND(M40&gt;=200,B40&lt;=6),"GREEN (SCALING)","REVIEW GATE")</f>
        <v/>
      </c>
    </row>
    <row r="41">
      <c r="A41" s="10" t="inlineStr">
        <is>
          <t>W38</t>
        </is>
      </c>
      <c r="B41" s="10" t="n">
        <v>4.5</v>
      </c>
      <c r="C41" s="10" t="n">
        <v>3.75</v>
      </c>
      <c r="D41" s="10" t="n">
        <v>2.8</v>
      </c>
      <c r="E41" s="10" t="n">
        <v>15</v>
      </c>
      <c r="F41" s="22" t="n">
        <v>0.517</v>
      </c>
      <c r="G41" s="12" t="n">
        <v>2504</v>
      </c>
      <c r="H41" s="12" t="n">
        <v>1845</v>
      </c>
      <c r="I41" s="12" t="n">
        <v>578</v>
      </c>
      <c r="J41" s="13">
        <f>G41+H41+I41</f>
        <v/>
      </c>
      <c r="K41" s="12" t="n">
        <v>198</v>
      </c>
      <c r="L41" s="13">
        <f>J41-K41</f>
        <v/>
      </c>
      <c r="M41" s="13">
        <f>ROUND(L41/B41,2)</f>
        <v/>
      </c>
      <c r="N41" s="14">
        <f>IF(AND(M41&gt;=200,B41&lt;=6),"GREEN (SCALING)","REVIEW GATE")</f>
        <v/>
      </c>
    </row>
    <row r="42">
      <c r="A42" s="5" t="inlineStr">
        <is>
          <t>W39</t>
        </is>
      </c>
      <c r="B42" s="5" t="n">
        <v>4</v>
      </c>
      <c r="C42" s="5" t="n">
        <v>4.1</v>
      </c>
      <c r="D42" s="5" t="n">
        <v>2.94</v>
      </c>
      <c r="E42" s="5" t="n">
        <v>15</v>
      </c>
      <c r="F42" s="21" t="n">
        <v>0.519</v>
      </c>
      <c r="G42" s="7" t="n">
        <v>2552</v>
      </c>
      <c r="H42" s="7" t="n">
        <v>1845</v>
      </c>
      <c r="I42" s="7" t="n">
        <v>589</v>
      </c>
      <c r="J42" s="8">
        <f>G42+H42+I42</f>
        <v/>
      </c>
      <c r="K42" s="7" t="n">
        <v>201.5</v>
      </c>
      <c r="L42" s="8">
        <f>J42-K42</f>
        <v/>
      </c>
      <c r="M42" s="8">
        <f>ROUND(L42/B42,2)</f>
        <v/>
      </c>
      <c r="N42" s="9">
        <f>IF(AND(M42&gt;=200,B42&lt;=6),"GREEN (SCALING)","REVIEW GATE")</f>
        <v/>
      </c>
    </row>
    <row r="43">
      <c r="A43" s="10" t="inlineStr">
        <is>
          <t>W40</t>
        </is>
      </c>
      <c r="B43" s="10" t="n">
        <v>4.25</v>
      </c>
      <c r="C43" s="10" t="n">
        <v>4.45</v>
      </c>
      <c r="D43" s="10" t="n">
        <v>2.38</v>
      </c>
      <c r="E43" s="10" t="n">
        <v>15</v>
      </c>
      <c r="F43" s="22" t="n">
        <v>0.52</v>
      </c>
      <c r="G43" s="12" t="n">
        <v>2600</v>
      </c>
      <c r="H43" s="12" t="n">
        <v>1900</v>
      </c>
      <c r="I43" s="12" t="n">
        <v>600</v>
      </c>
      <c r="J43" s="13">
        <f>G43+H43+I43</f>
        <v/>
      </c>
      <c r="K43" s="12" t="n">
        <v>205</v>
      </c>
      <c r="L43" s="13">
        <f>J43-K43</f>
        <v/>
      </c>
      <c r="M43" s="13">
        <f>ROUND(L43/B43,2)</f>
        <v/>
      </c>
      <c r="N43" s="14">
        <f>IF(AND(M43&gt;=200,B43&lt;=6),"GREEN (SCALING)","REVIEW GATE")</f>
        <v/>
      </c>
    </row>
    <row r="44">
      <c r="A44" s="5" t="inlineStr">
        <is>
          <t>W41</t>
        </is>
      </c>
      <c r="B44" s="5" t="n">
        <v>4.5</v>
      </c>
      <c r="C44" s="5" t="n">
        <v>4.8</v>
      </c>
      <c r="D44" s="5" t="n">
        <v>2.52</v>
      </c>
      <c r="E44" s="5" t="n">
        <v>15</v>
      </c>
      <c r="F44" s="21" t="n">
        <v>0.522</v>
      </c>
      <c r="G44" s="7" t="n">
        <v>2648</v>
      </c>
      <c r="H44" s="7" t="n">
        <v>1900</v>
      </c>
      <c r="I44" s="7" t="n">
        <v>611</v>
      </c>
      <c r="J44" s="8">
        <f>G44+H44+I44</f>
        <v/>
      </c>
      <c r="K44" s="7" t="n">
        <v>208.5</v>
      </c>
      <c r="L44" s="8">
        <f>J44-K44</f>
        <v/>
      </c>
      <c r="M44" s="8">
        <f>ROUND(L44/B44,2)</f>
        <v/>
      </c>
      <c r="N44" s="9">
        <f>IF(AND(M44&gt;=200,B44&lt;=6),"GREEN (SCALING)","REVIEW GATE")</f>
        <v/>
      </c>
    </row>
    <row r="45">
      <c r="A45" s="10" t="inlineStr">
        <is>
          <t>W42</t>
        </is>
      </c>
      <c r="B45" s="10" t="n">
        <v>4</v>
      </c>
      <c r="C45" s="10" t="n">
        <v>2.7</v>
      </c>
      <c r="D45" s="10" t="n">
        <v>2.66</v>
      </c>
      <c r="E45" s="10" t="n">
        <v>15</v>
      </c>
      <c r="F45" s="22" t="n">
        <v>0.523</v>
      </c>
      <c r="G45" s="12" t="n">
        <v>2696</v>
      </c>
      <c r="H45" s="12" t="n">
        <v>1955</v>
      </c>
      <c r="I45" s="12" t="n">
        <v>622</v>
      </c>
      <c r="J45" s="13">
        <f>G45+H45+I45</f>
        <v/>
      </c>
      <c r="K45" s="12" t="n">
        <v>212</v>
      </c>
      <c r="L45" s="13">
        <f>J45-K45</f>
        <v/>
      </c>
      <c r="M45" s="13">
        <f>ROUND(L45/B45,2)</f>
        <v/>
      </c>
      <c r="N45" s="14">
        <f>IF(AND(M45&gt;=200,B45&lt;=6),"GREEN (SCALING)","REVIEW GATE")</f>
        <v/>
      </c>
    </row>
    <row r="46">
      <c r="A46" s="5" t="inlineStr">
        <is>
          <t>W43</t>
        </is>
      </c>
      <c r="B46" s="5" t="n">
        <v>4.25</v>
      </c>
      <c r="C46" s="5" t="n">
        <v>3.05</v>
      </c>
      <c r="D46" s="5" t="n">
        <v>2.8</v>
      </c>
      <c r="E46" s="5" t="n">
        <v>15</v>
      </c>
      <c r="F46" s="21" t="n">
        <v>0.524</v>
      </c>
      <c r="G46" s="7" t="n">
        <v>2744</v>
      </c>
      <c r="H46" s="7" t="n">
        <v>1955</v>
      </c>
      <c r="I46" s="7" t="n">
        <v>633</v>
      </c>
      <c r="J46" s="8">
        <f>G46+H46+I46</f>
        <v/>
      </c>
      <c r="K46" s="7" t="n">
        <v>215.5</v>
      </c>
      <c r="L46" s="8">
        <f>J46-K46</f>
        <v/>
      </c>
      <c r="M46" s="8">
        <f>ROUND(L46/B46,2)</f>
        <v/>
      </c>
      <c r="N46" s="9">
        <f>IF(AND(M46&gt;=200,B46&lt;=6),"GREEN (SCALING)","REVIEW GATE")</f>
        <v/>
      </c>
    </row>
    <row r="47">
      <c r="A47" s="10" t="inlineStr">
        <is>
          <t>W44</t>
        </is>
      </c>
      <c r="B47" s="10" t="n">
        <v>4.5</v>
      </c>
      <c r="C47" s="10" t="n">
        <v>3.4</v>
      </c>
      <c r="D47" s="10" t="n">
        <v>2.94</v>
      </c>
      <c r="E47" s="10" t="n">
        <v>15</v>
      </c>
      <c r="F47" s="22" t="n">
        <v>0.526</v>
      </c>
      <c r="G47" s="12" t="n">
        <v>2792</v>
      </c>
      <c r="H47" s="12" t="n">
        <v>2010</v>
      </c>
      <c r="I47" s="12" t="n">
        <v>644</v>
      </c>
      <c r="J47" s="13">
        <f>G47+H47+I47</f>
        <v/>
      </c>
      <c r="K47" s="12" t="n">
        <v>219</v>
      </c>
      <c r="L47" s="13">
        <f>J47-K47</f>
        <v/>
      </c>
      <c r="M47" s="13">
        <f>ROUND(L47/B47,2)</f>
        <v/>
      </c>
      <c r="N47" s="14">
        <f>IF(AND(M47&gt;=200,B47&lt;=6),"GREEN (SCALING)","REVIEW GATE")</f>
        <v/>
      </c>
    </row>
    <row r="48">
      <c r="A48" s="5" t="inlineStr">
        <is>
          <t>W45</t>
        </is>
      </c>
      <c r="B48" s="5" t="n">
        <v>4</v>
      </c>
      <c r="C48" s="5" t="n">
        <v>3.75</v>
      </c>
      <c r="D48" s="5" t="n">
        <v>2.38</v>
      </c>
      <c r="E48" s="5" t="n">
        <v>15</v>
      </c>
      <c r="F48" s="21" t="n">
        <v>0.528</v>
      </c>
      <c r="G48" s="7" t="n">
        <v>2840</v>
      </c>
      <c r="H48" s="7" t="n">
        <v>2010</v>
      </c>
      <c r="I48" s="7" t="n">
        <v>655</v>
      </c>
      <c r="J48" s="8">
        <f>G48+H48+I48</f>
        <v/>
      </c>
      <c r="K48" s="7" t="n">
        <v>222.5</v>
      </c>
      <c r="L48" s="8">
        <f>J48-K48</f>
        <v/>
      </c>
      <c r="M48" s="8">
        <f>ROUND(L48/B48,2)</f>
        <v/>
      </c>
      <c r="N48" s="9">
        <f>IF(AND(M48&gt;=200,B48&lt;=6),"GREEN (SCALING)","REVIEW GATE")</f>
        <v/>
      </c>
    </row>
    <row r="49">
      <c r="A49" s="10" t="inlineStr">
        <is>
          <t>W46</t>
        </is>
      </c>
      <c r="B49" s="10" t="n">
        <v>4.25</v>
      </c>
      <c r="C49" s="10" t="n">
        <v>4.1</v>
      </c>
      <c r="D49" s="10" t="n">
        <v>2.52</v>
      </c>
      <c r="E49" s="10" t="n">
        <v>15</v>
      </c>
      <c r="F49" s="22" t="n">
        <v>0.529</v>
      </c>
      <c r="G49" s="12" t="n">
        <v>2888</v>
      </c>
      <c r="H49" s="12" t="n">
        <v>2065</v>
      </c>
      <c r="I49" s="12" t="n">
        <v>666</v>
      </c>
      <c r="J49" s="13">
        <f>G49+H49+I49</f>
        <v/>
      </c>
      <c r="K49" s="12" t="n">
        <v>226</v>
      </c>
      <c r="L49" s="13">
        <f>J49-K49</f>
        <v/>
      </c>
      <c r="M49" s="13">
        <f>ROUND(L49/B49,2)</f>
        <v/>
      </c>
      <c r="N49" s="14">
        <f>IF(AND(M49&gt;=200,B49&lt;=6),"GREEN (SCALING)","REVIEW GATE")</f>
        <v/>
      </c>
    </row>
    <row r="50">
      <c r="A50" s="5" t="inlineStr">
        <is>
          <t>W47</t>
        </is>
      </c>
      <c r="B50" s="5" t="n">
        <v>4.5</v>
      </c>
      <c r="C50" s="5" t="n">
        <v>4.45</v>
      </c>
      <c r="D50" s="5" t="n">
        <v>2.66</v>
      </c>
      <c r="E50" s="5" t="n">
        <v>15</v>
      </c>
      <c r="F50" s="21" t="n">
        <v>0.53</v>
      </c>
      <c r="G50" s="7" t="n">
        <v>2936</v>
      </c>
      <c r="H50" s="7" t="n">
        <v>2065</v>
      </c>
      <c r="I50" s="7" t="n">
        <v>677</v>
      </c>
      <c r="J50" s="8">
        <f>G50+H50+I50</f>
        <v/>
      </c>
      <c r="K50" s="7" t="n">
        <v>229.5</v>
      </c>
      <c r="L50" s="8">
        <f>J50-K50</f>
        <v/>
      </c>
      <c r="M50" s="8">
        <f>ROUND(L50/B50,2)</f>
        <v/>
      </c>
      <c r="N50" s="9">
        <f>IF(AND(M50&gt;=200,B50&lt;=6),"GREEN (SCALING)","REVIEW GATE")</f>
        <v/>
      </c>
    </row>
    <row r="51">
      <c r="A51" s="10" t="inlineStr">
        <is>
          <t>W48</t>
        </is>
      </c>
      <c r="B51" s="10" t="n">
        <v>4</v>
      </c>
      <c r="C51" s="10" t="n">
        <v>4.8</v>
      </c>
      <c r="D51" s="10" t="n">
        <v>2.8</v>
      </c>
      <c r="E51" s="10" t="n">
        <v>15</v>
      </c>
      <c r="F51" s="22" t="n">
        <v>0.532</v>
      </c>
      <c r="G51" s="12" t="n">
        <v>2984</v>
      </c>
      <c r="H51" s="12" t="n">
        <v>2120</v>
      </c>
      <c r="I51" s="12" t="n">
        <v>688</v>
      </c>
      <c r="J51" s="13">
        <f>G51+H51+I51</f>
        <v/>
      </c>
      <c r="K51" s="12" t="n">
        <v>233</v>
      </c>
      <c r="L51" s="13">
        <f>J51-K51</f>
        <v/>
      </c>
      <c r="M51" s="13">
        <f>ROUND(L51/B51,2)</f>
        <v/>
      </c>
      <c r="N51" s="14">
        <f>IF(AND(M51&gt;=200,B51&lt;=6),"GREEN (SCALING)","REVIEW GATE")</f>
        <v/>
      </c>
    </row>
    <row r="52">
      <c r="A52" s="5" t="inlineStr">
        <is>
          <t>W49</t>
        </is>
      </c>
      <c r="B52" s="5" t="n">
        <v>4.25</v>
      </c>
      <c r="C52" s="5" t="n">
        <v>2.7</v>
      </c>
      <c r="D52" s="5" t="n">
        <v>2.94</v>
      </c>
      <c r="E52" s="5" t="n">
        <v>15</v>
      </c>
      <c r="F52" s="21" t="n">
        <v>0.533</v>
      </c>
      <c r="G52" s="7" t="n">
        <v>3032</v>
      </c>
      <c r="H52" s="7" t="n">
        <v>2120</v>
      </c>
      <c r="I52" s="7" t="n">
        <v>699</v>
      </c>
      <c r="J52" s="8">
        <f>G52+H52+I52</f>
        <v/>
      </c>
      <c r="K52" s="7" t="n">
        <v>236.5</v>
      </c>
      <c r="L52" s="8">
        <f>J52-K52</f>
        <v/>
      </c>
      <c r="M52" s="8">
        <f>ROUND(L52/B52,2)</f>
        <v/>
      </c>
      <c r="N52" s="9">
        <f>IF(AND(M52&gt;=200,B52&lt;=6),"GREEN (SCALING)","REVIEW GATE")</f>
        <v/>
      </c>
    </row>
    <row r="53">
      <c r="A53" s="10" t="inlineStr">
        <is>
          <t>W50</t>
        </is>
      </c>
      <c r="B53" s="10" t="n">
        <v>4.5</v>
      </c>
      <c r="C53" s="10" t="n">
        <v>3.05</v>
      </c>
      <c r="D53" s="10" t="n">
        <v>2.38</v>
      </c>
      <c r="E53" s="10" t="n">
        <v>15</v>
      </c>
      <c r="F53" s="22" t="n">
        <v>0.535</v>
      </c>
      <c r="G53" s="12" t="n">
        <v>3080</v>
      </c>
      <c r="H53" s="12" t="n">
        <v>2175</v>
      </c>
      <c r="I53" s="12" t="n">
        <v>710</v>
      </c>
      <c r="J53" s="13">
        <f>G53+H53+I53</f>
        <v/>
      </c>
      <c r="K53" s="12" t="n">
        <v>240</v>
      </c>
      <c r="L53" s="13">
        <f>J53-K53</f>
        <v/>
      </c>
      <c r="M53" s="13">
        <f>ROUND(L53/B53,2)</f>
        <v/>
      </c>
      <c r="N53" s="14">
        <f>IF(AND(M53&gt;=200,B53&lt;=6),"GREEN (SCALING)","REVIEW GATE")</f>
        <v/>
      </c>
    </row>
    <row r="54">
      <c r="A54" s="5" t="inlineStr">
        <is>
          <t>W51</t>
        </is>
      </c>
      <c r="B54" s="5" t="n">
        <v>4</v>
      </c>
      <c r="C54" s="5" t="n">
        <v>3.4</v>
      </c>
      <c r="D54" s="5" t="n">
        <v>2.52</v>
      </c>
      <c r="E54" s="5" t="n">
        <v>15</v>
      </c>
      <c r="F54" s="21" t="n">
        <v>0.536</v>
      </c>
      <c r="G54" s="7" t="n">
        <v>3128</v>
      </c>
      <c r="H54" s="7" t="n">
        <v>2175</v>
      </c>
      <c r="I54" s="7" t="n">
        <v>721</v>
      </c>
      <c r="J54" s="8">
        <f>G54+H54+I54</f>
        <v/>
      </c>
      <c r="K54" s="7" t="n">
        <v>243.5</v>
      </c>
      <c r="L54" s="8">
        <f>J54-K54</f>
        <v/>
      </c>
      <c r="M54" s="8">
        <f>ROUND(L54/B54,2)</f>
        <v/>
      </c>
      <c r="N54" s="9">
        <f>IF(AND(M54&gt;=200,B54&lt;=6),"GREEN (SCALING)","REVIEW GATE")</f>
        <v/>
      </c>
    </row>
    <row r="55">
      <c r="A55" s="10" t="inlineStr">
        <is>
          <t>W52</t>
        </is>
      </c>
      <c r="B55" s="10" t="n">
        <v>4.25</v>
      </c>
      <c r="C55" s="10" t="n">
        <v>3.75</v>
      </c>
      <c r="D55" s="10" t="n">
        <v>2.66</v>
      </c>
      <c r="E55" s="10" t="n">
        <v>15</v>
      </c>
      <c r="F55" s="22" t="n">
        <v>0.538</v>
      </c>
      <c r="G55" s="12" t="n">
        <v>3176</v>
      </c>
      <c r="H55" s="12" t="n">
        <v>2230</v>
      </c>
      <c r="I55" s="12" t="n">
        <v>732</v>
      </c>
      <c r="J55" s="13">
        <f>G55+H55+I55</f>
        <v/>
      </c>
      <c r="K55" s="12" t="n">
        <v>247</v>
      </c>
      <c r="L55" s="13">
        <f>J55-K55</f>
        <v/>
      </c>
      <c r="M55" s="13">
        <f>ROUND(L55/B55,2)</f>
        <v/>
      </c>
      <c r="N55" s="14">
        <f>IF(AND(M55&gt;=200,B55&lt;=6),"GREEN (SCALING)","REVIEW GATE")</f>
        <v/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2026-10-23T07:24:47Z</dcterms:created>
  <dcterms:modified xmlns:dcterms="http://purl.org/dc/terms/" xmlns:xsi="http://www.w3.org/2001/XMLSchema-instance" xsi:type="dcterms:W3CDTF">2026-10-23T07:24:48Z</dcterms:modified>
</cp:coreProperties>
</file>